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6BCA8E8-9998-4CAA-AEF5-2F109EDD2D0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hartData" sheetId="1" state="hidden" r:id="rId1"/>
    <sheet name="Tổng quan dự án" sheetId="2" r:id="rId2"/>
    <sheet name="IOC Sân vận động PVF" sheetId="3" r:id="rId3"/>
    <sheet name="IOC Smart City" sheetId="4" r:id="rId4"/>
  </sheets>
  <definedNames>
    <definedName name="_xlnm.Print_Area" localSheetId="2">'IOC Sân vận động PVF'!$A1:$F35</definedName>
    <definedName name="_xlnm.Print_Area" localSheetId="3">'IOC Smart City'!$A1:$F33</definedName>
    <definedName name="_xlnm.Print_Area" localSheetId="1">'Tổng quan dự án'!$A1:$E29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<sst xmlns="http://schemas.openxmlformats.org/spreadsheetml/2006/main" count="308" uniqueCount="223">
  <si>
    <t>Tuần</t>
  </si>
  <si>
    <t>PVF</t>
  </si>
  <si>
    <t>Smart City</t>
  </si>
  <si>
    <t>Tab</t>
  </si>
  <si>
    <t>Số tab</t>
  </si>
  <si>
    <t>Công việc</t>
  </si>
  <si>
    <t>Layout</t>
  </si>
  <si>
    <t>T1</t>
  </si>
  <si>
    <t>Tổng quan</t>
  </si>
  <si>
    <t>Tuần 1</t>
  </si>
  <si>
    <t>Ops classic</t>
  </si>
  <si>
    <t>Tuần 4</t>
  </si>
  <si>
    <t>T2</t>
  </si>
  <si>
    <t>An ninh</t>
  </si>
  <si>
    <t>Tuần 2</t>
  </si>
  <si>
    <t>Command 3D</t>
  </si>
  <si>
    <t>Tuần 5</t>
  </si>
  <si>
    <t>T3</t>
  </si>
  <si>
    <t>Sự kiện</t>
  </si>
  <si>
    <t>Tuần 3</t>
  </si>
  <si>
    <t>Tuần 6</t>
  </si>
  <si>
    <t>T4</t>
  </si>
  <si>
    <t>Cơ sở HT</t>
  </si>
  <si>
    <t>T5</t>
  </si>
  <si>
    <t>Dịch vụ</t>
  </si>
  <si>
    <t>T6</t>
  </si>
  <si>
    <t>Báo cáo</t>
  </si>
  <si>
    <t>BÁO CÁO KẾ HOẠCH 6 TUẦN — IOC PVF &amp; SMART CITY</t>
  </si>
  <si>
    <t>Vinsmartcity  |  25/05 – 05/07/2026  |  Nguyễn Triệu Gia Khánh  |  Trạng thái: Tuần 1 — PVF</t>
  </si>
  <si>
    <t>LỘ TRÌNH 6 TUẦN (PVF trước → Smart City sau)</t>
  </si>
  <si>
    <t>Giai đoạn</t>
  </si>
  <si>
    <t>Thời gian</t>
  </si>
  <si>
    <t>Trọng tâm</t>
  </si>
  <si>
    <t>Nghiệm thu</t>
  </si>
  <si>
    <t>1</t>
  </si>
  <si>
    <t>25/05 – 31/05</t>
  </si>
  <si>
    <t>Kickoff; BRD/SRS; prototype 6 tab; model 3D sân; VOC–FIFA</t>
  </si>
  <si>
    <t>2</t>
  </si>
  <si>
    <t>01/06 – 07/06</t>
  </si>
  <si>
    <t>Mô phỏng mái vòm; kiến trúc; kiểm thử VOC</t>
  </si>
  <si>
    <t>3</t>
  </si>
  <si>
    <t>08/06 – 14/06</t>
  </si>
  <si>
    <t>UAT PVF; bàn giao tài liệu PVF
→ Nghiệm thu PVF</t>
  </si>
  <si>
    <t>4</t>
  </si>
  <si>
    <t>15/06 – 21/06</t>
  </si>
  <si>
    <t>BRD/SRS SC; An ninh &amp; Giao thông 3D</t>
  </si>
  <si>
    <t>5</t>
  </si>
  <si>
    <t>22/06 – 28/06</t>
  </si>
  <si>
    <t>4 tab còn lại; kiến trúc dual IOC; link PVF</t>
  </si>
  <si>
    <t>6</t>
  </si>
  <si>
    <t>29/06 – 05/07</t>
  </si>
  <si>
    <t>UAT tổng; bàn giao full pack
→ Nghiệm thu tổng</t>
  </si>
  <si>
    <t>YÊU CẦU PHỐI HỢP BAN LÃNH ĐẠO</t>
  </si>
  <si>
    <t>Hạng mục</t>
  </si>
  <si>
    <t>Cần làm gì</t>
  </si>
  <si>
    <t>Thời điểm</t>
  </si>
  <si>
    <t>Xác nhận ưu tiên PVF &amp; VOC–FIFA</t>
  </si>
  <si>
    <t>Đồng ý phạm vi VOC trên 6 tab PVF</t>
  </si>
  <si>
    <t>Duyệt BRD/SRS</t>
  </si>
  <si>
    <t>Phê duyệt phạm vi trước nghiệm thu</t>
  </si>
  <si>
    <t>Tuần 2–3 / 5–6</t>
  </si>
  <si>
    <t>Đại diện nghiệm thu PVF</t>
  </si>
  <si>
    <t>1 người vận hành sân — UAT</t>
  </si>
  <si>
    <t>Đại diện nghiệm thu Smart City</t>
  </si>
  <si>
    <t>1–2 người ban quản lý đô thị</t>
  </si>
  <si>
    <t>Phản hồi định kỳ</t>
  </si>
  <si>
    <t>Xem demo cuối tuần</t>
  </si>
  <si>
    <t>Hàng tuần</t>
  </si>
  <si>
    <t>Môi trường demo</t>
  </si>
  <si>
    <t>Màn hình phòng điều hành / VOC</t>
  </si>
  <si>
    <t>Tuần 2 trở đi</t>
  </si>
  <si>
    <t>RỦI RO &amp; GIẢI PHÁP</t>
  </si>
  <si>
    <t>Rủi ro</t>
  </si>
  <si>
    <t>Cách xử lý</t>
  </si>
  <si>
    <t>PVF chưa nghiệm thu kịp tuần 3</t>
  </si>
  <si>
    <t>Smart City chỉ bắt đầu tuần 4 khi PVF đã ký duyệt</t>
  </si>
  <si>
    <t>VOC–FIFA chưa thống nhất sớm</t>
  </si>
  <si>
    <t>Rà soát BRD tuần 1; chốt phạm vi trước tuần 2</t>
  </si>
  <si>
    <t>Chưa có API hệ thống thật</t>
  </si>
  <si>
    <t>6 tuần: prototype + tài liệu; tích hợp VOC sau</t>
  </si>
  <si>
    <t>Thay đổi yêu cầu giữa chừng</t>
  </si>
  <si>
    <t>Cập nhật BRD/SRS; điều chỉnh lộ trình</t>
  </si>
  <si>
    <t>Tab 3D Smart City nặng máy cũ</t>
  </si>
  <si>
    <t>Tối ưu tuần 5–6</t>
  </si>
  <si>
    <t>KẾ HOẠCH TRIỂN KHAI — IOC SÂN VẬN ĐỘNG PVF (Giai đoạn 1: Tuần 1–3)</t>
  </si>
  <si>
    <t>Dự án Vinsmartcity  |  25/05 – 14/06/2026  |  Nguyễn Triệu Gia Khánh  |  Chuẩn VOC–FIFA</t>
  </si>
  <si>
    <t>• Ưu tiên triển khai trước Smart City — phục vụ ban vận hành sân / an ninh sự kiện.</t>
  </si>
  <si>
    <t>• Phạm vi 6 tuần: prototype web 6 tab + BRD/SRS/Kiến trúc + mô phỏng mái vòm (chưa nối BMS/SCADA thật).</t>
  </si>
  <si>
    <t>• Tích hợp VOC theo khung vận hành venue FIFA; nghiệm thu cuối tuần 3.</t>
  </si>
  <si>
    <t>• Nguồn thông số sân: VnExpress (video nhúng trong bài) — 60.000 chỗ, mái vòm 12–20 phút, Hưng Yên.</t>
  </si>
  <si>
    <t>#</t>
  </si>
  <si>
    <t>Đầu mục công việc</t>
  </si>
  <si>
    <t>Mô tả / Kết quả đạt được</t>
  </si>
  <si>
    <t>Tiến độ</t>
  </si>
  <si>
    <t>Ghi chú</t>
  </si>
  <si>
    <t>TUẦN 1 (25/05 – 31/05) — Kickoff, BRD/SRS, prototype 6 tab, model 3D sân, căn VOC–FIFA</t>
  </si>
  <si>
    <t>1.1</t>
  </si>
  <si>
    <t>Kickoff PVF &amp; xác nhận phạm vi VOC–FIFA</t>
  </si>
  <si>
    <t>Họp mở đầu; chốt phạm vi 6 tab PVF với ban lãnh đạo
→ Kết quả: Biên bản kickoff + phạm vi VOC thống nhất</t>
  </si>
  <si>
    <t>Đang thực hiện</t>
  </si>
  <si>
    <t>1.2</t>
  </si>
  <si>
    <t>Soạn BRD/SRS PVF</t>
  </si>
  <si>
    <t>1.3</t>
  </si>
  <si>
    <t>Branding &amp; prototype 6 tab</t>
  </si>
  <si>
    <t>1.4</t>
  </si>
  <si>
    <t>Xây dựng model 3D sân vận động PVF</t>
  </si>
  <si>
    <t>stadium-ioc/</t>
  </si>
  <si>
    <t>1.5</t>
  </si>
  <si>
    <t>Căn thông số sân PVF</t>
  </si>
  <si>
    <t>Tham chiếu VnExpress (video): quy mô, mái vòm, cỏ hybrid
→ Kết quả: Bảng thông số đối chiếu nguồn</t>
  </si>
  <si>
    <t>Chưa làm</t>
  </si>
  <si>
    <t>VnExpress</t>
  </si>
  <si>
    <t>TUẦN 2 (01/06 – 07/06) — Mô phỏng mái vòm, kiến trúc, kiểm thử phòng điều hành</t>
  </si>
  <si>
    <t>2.1</t>
  </si>
  <si>
    <t>Mô phỏng đóng/mở mái vòm</t>
  </si>
  <si>
    <t>Tab Cơ sở hạ tầng: trạng thái, tiến trình 12–20 phút, phanh khẩn cấp
→ Kết quả: Luồng vận hành mái trên prototype</t>
  </si>
  <si>
    <t>Demo</t>
  </si>
  <si>
    <t>2.2</t>
  </si>
  <si>
    <t>Tài liệu kiến trúc PVF</t>
  </si>
  <si>
    <t>2.3</t>
  </si>
  <si>
    <t>Kiểm thử phòng điều hành / VOC</t>
  </si>
  <si>
    <t>Demo trên màn hình phòng điều hành; thu feedback
→ Kết quả: Biên bản kiểm thử nội bộ</t>
  </si>
  <si>
    <t>Cần môi trường demo</t>
  </si>
  <si>
    <t>2.4</t>
  </si>
  <si>
    <t>Duyệt BRD/SRS (lãnh đạo)</t>
  </si>
  <si>
    <t>Phê duyệt phạm vi trước nghiệm thu tuần 3
→ Kết quả: BRD/SRS đã ký duyệt</t>
  </si>
  <si>
    <t>Yêu cầu lãnh đạo</t>
  </si>
  <si>
    <t>TUẦN 3 (08/06 – 14/06) — UAT &amp; nghiệm thu PVF</t>
  </si>
  <si>
    <t>3.1</t>
  </si>
  <si>
    <t>UAT PVF</t>
  </si>
  <si>
    <t>1 đại diện ban vận hành sân — kiểm thử 6 tab + mô phỏng mái
→ Kết quả: Biên bản UAT PVF</t>
  </si>
  <si>
    <t>3.2</t>
  </si>
  <si>
    <t>Cập nhật tài liệu sau UAT</t>
  </si>
  <si>
    <t>BRD, SRS, Kiến trúc PVF (60k chỗ, mái vòm, VOC)
→ Kết quả: Bộ tài liệu PVF hoàn chỉnh</t>
  </si>
  <si>
    <t>3.3</t>
  </si>
  <si>
    <t>Nghiệm thu &amp; bàn giao gói PVF</t>
  </si>
  <si>
    <t>Ký checklist; bàn giao prototype + tài liệu
→ Kết quả: PVF nghiệm thu — mở SC tuần 4</t>
  </si>
  <si>
    <t>Mốc quan trọng</t>
  </si>
  <si>
    <t>PHẠM VI 6 TAB PVF (ánh xạ VOC–FIFA)</t>
  </si>
  <si>
    <t>STT</t>
  </si>
  <si>
    <t>Nội dung chính</t>
  </si>
  <si>
    <t>Nhóm VOC</t>
  </si>
  <si>
    <t>Trạng thái sân, 60.000 chỗ, sự kiện, icon mái vòm</t>
  </si>
  <si>
    <t>Dashboard VOC tổng</t>
  </si>
  <si>
    <t>Camera + sơ đồ sân, mật độ khán giả</t>
  </si>
  <si>
    <t>Safety &amp; security</t>
  </si>
  <si>
    <t>Timeline trận đấu / sự kiện</t>
  </si>
  <si>
    <t>Event operations</t>
  </si>
  <si>
    <t>Cơ sở hạ tầng</t>
  </si>
  <si>
    <t>Điện, HVAC, mô phỏng mái vòm</t>
  </si>
  <si>
    <t>Technical operations</t>
  </si>
  <si>
    <t>F&amp;B, bãi xe, VIP</t>
  </si>
  <si>
    <t>Spectator services</t>
  </si>
  <si>
    <t>KPI vận hành theo trận</t>
  </si>
  <si>
    <t>Reporting</t>
  </si>
  <si>
    <t>KẾ HOẠCH TRIỂN KHAI — IOC SMART CITY (Giai đoạn 2: Tuần 4–6)</t>
  </si>
  <si>
    <t>Dự án Vinsmartcity  |  15/06 – 05/07/2026  |  Nguyễn Triệu Gia Khánh  |  Bắt đầu sau nghiệm thu PVF</t>
  </si>
  <si>
    <t>• Triển khai sau khi PVF nghiệm thu tuần 3 — phục vụ ban quản lý đô thị / khu thông minh.</t>
  </si>
  <si>
    <t>• Phạm vi: prototype 6 tab (2 tab Command Center 3D: Giao thông &amp; An ninh).</t>
  </si>
  <si>
    <t>• Liên kết chéo Smart City ↔ PVF trên header (1 click).</t>
  </si>
  <si>
    <t>• Nghiệm thu tổng thể &amp; bàn giao full pack cuối tuần 6.</t>
  </si>
  <si>
    <t>TUẦN 4 (15/06 – 21/06) — BRD/SRS Smart City &amp; 2 tab cốt lõi 3D</t>
  </si>
  <si>
    <t>4.1</t>
  </si>
  <si>
    <t>Soạn BRD/SRS Smart City</t>
  </si>
  <si>
    <t>Phạm vi 6 tab, người dùng mục tiêu ban quản lý đô thị
→ Kết quả: BRD/SRS SC bản 1</t>
  </si>
  <si>
    <t>4.2</t>
  </si>
  <si>
    <t>Prototype An ninh &amp; Giao thông 3D</t>
  </si>
  <si>
    <t>Command Center: scene Three.js + HUD hai bên
→ Kết quả: 2 tab cốt lõi hoàn chỉnh</t>
  </si>
  <si>
    <t>smartcity-ioc/</t>
  </si>
  <si>
    <t>4.3</t>
  </si>
  <si>
    <t>Tham chiếu mockup nguồn</t>
  </si>
  <si>
    <t>ioc_smartcity_homepage_mockup.html, ioc_realtime_dashboard.html
→ Kết quả: UI đồng bộ mockup</t>
  </si>
  <si>
    <t>TUẦN 5 (22/06 – 28/06) — 4 tab còn lại, kiến trúc dual IOC, liên kết PVF</t>
  </si>
  <si>
    <t>5.1</t>
  </si>
  <si>
    <t>Hoàn thiện 4 tab còn lại</t>
  </si>
  <si>
    <t>Tổng quan, Môi trường, Tiện ích, Báo cáo
→ Kết quả: 6 tab Smart City đầy đủ</t>
  </si>
  <si>
    <t>5.2</t>
  </si>
  <si>
    <t>Tài liệu kiến trúc dual IOC</t>
  </si>
  <si>
    <t>Cấu trúc shared-ioc, cross-link, tích hợp tương lai
→ Kết quả: Kiến trúc tổng bản 1</t>
  </si>
  <si>
    <t>5.3</t>
  </si>
  <si>
    <t>Liên kết Smart City ↔ PVF</t>
  </si>
  <si>
    <t>Center-switch trên header; deep link từ overview
→ Kết quả: Chuyển IOC 1 click</t>
  </si>
  <si>
    <t>Tuần 5–6</t>
  </si>
  <si>
    <t>5.4</t>
  </si>
  <si>
    <t>Duyệt BRD/SRS Smart City</t>
  </si>
  <si>
    <t>Phê duyệt phạm vi trước UAT tuần 6
→ Kết quả: BRD/SRS SC đã duyệt</t>
  </si>
  <si>
    <t>TUẦN 6 (29/06 – 05/07) — UAT tổng &amp; bàn giao full pack</t>
  </si>
  <si>
    <t>6.1</t>
  </si>
  <si>
    <t>UAT Smart City</t>
  </si>
  <si>
    <t>1–2 đại diện ban quản lý đô thị — kiểm thử 6 tab
→ Kết quả: Biên bản UAT SC</t>
  </si>
  <si>
    <t>6.2</t>
  </si>
  <si>
    <t>Hoàn thiện toàn bộ tài liệu</t>
  </si>
  <si>
    <t>BRD, SRS, Kiến trúc SC + nghiên cứu UI
→ Kết quả: Full bộ tài liệu sản phẩm</t>
  </si>
  <si>
    <t>6.3</t>
  </si>
  <si>
    <t>Demo / training &amp; nghiệm thu tổng</t>
  </si>
  <si>
    <t>Buổi tổng kết; bàn giao prototype + tài liệu
→ Kết quả: Dự án hoàn thành</t>
  </si>
  <si>
    <t>Mốc cuối</t>
  </si>
  <si>
    <t>PHẠM VI 6 TAB SMART CITY</t>
  </si>
  <si>
    <t>Chỉ số tổng thể, cổng phân hệ (link PVF)</t>
  </si>
  <si>
    <t>Giao thông</t>
  </si>
  <si>
    <t>Ngã tư 3D + bảng điều khiển</t>
  </si>
  <si>
    <t>Command Center 3D</t>
  </si>
  <si>
    <t>Khu đô thị 3D + camera, cảnh báo</t>
  </si>
  <si>
    <t>Môi trường</t>
  </si>
  <si>
    <t>AQI, trạm đo, biểu đồ</t>
  </si>
  <si>
    <t>Tiện ích</t>
  </si>
  <si>
    <t>Điện, nước, chiếu sáng</t>
  </si>
  <si>
    <t>Bảng số liệu, biểu đồ tổng hợp</t>
  </si>
  <si>
    <t>TÓM TẮT CHUNG</t>
  </si>
  <si>
    <t>Theo yêu cầu của lãnh đạo</t>
  </si>
  <si>
    <t>4,2</t>
  </si>
  <si>
    <t>Xây dựng model 3D cho 4 tab vận hành Smart City (Giao thông · An ninh · Môi trường · Tiện ích)</t>
  </si>
  <si>
    <t>Xây dựng scene Three.js cho Giao thông, An ninh, Môi trường, Tiện ích — mỗi tab có model 3D + HUD hai bên → Kết quả: 4 tab Smart City có mô hình 3D tương tác hoàn chỉnh</t>
  </si>
  <si>
    <t>Three.js + GLB (pvf-stadium.glb): khán đài 60.000 chỗ, mái vòm, sân cỏ — phục vụ tab An ninh, Tổng quan, sự kiện, cơ sở hạ tầng và dịch vụ
→ Kết quả: Model 3D sân PVF tích hợp prototype</t>
  </si>
  <si>
    <t>Hạ tầng: đóng/mở mái 12–20 phút; An ninh/Sự kiện/Dịch vụ: 1 kịch bản chéo (mật độ B → timeline → bãi/F&amp;B); kiểm thử nội bộ 5 tab. → Kết quả: Demo closed-loop 1 trận; kiến trúc VOC bản 1.</t>
  </si>
  <si>
    <t xml:space="preserve"> Báo cáo tổng hợp KPI 4 phân hệ + UAT PVF</t>
  </si>
  <si>
    <t>Tab Báo cáo gom KPI An ninh/Sự kiện/Hạ tầng/Dịch vụ; đồng bộ số liệu 1 kịch bản; checklist UAT 5 phòng → ký nghiệm thu PVF. → Kết quả: Gói PVF hoàn thành (prototype + tài liệu).</t>
  </si>
  <si>
    <t>Thiết lập 5 tab vận hành (An ninh · Sự kiện · Hạ tầng · Dịch vụ · Báo cáo)</t>
  </si>
  <si>
    <t xml:space="preserve">Mỗi tab vận hành theo từng phòng ban và chức năng của phòng đó: HUD + KPI + cảnh báo demo trên 3D PVF; ghi phạm vi từng phòng trong BRD/SRS. → Kết quả: 5 tab có dữ liệu mock, đọc được trên phòng điều hành.
</t>
  </si>
  <si>
    <t>Soạn BRD/SRS PVF bản 1 — Sức chứa 60.000 chỗ; 3D mô phỏng 2.000–3.000 ghế đại diện, KPI tính theo % lấp đầy (vd. 80% → 48.000 khán giả); mô phỏng mái vòm PTFE (12–20 phút); căn VOC–FIFA trên 5 phân hệ.</t>
  </si>
  <si>
    <t>Thiết kế giao diện PVF và dựng trang web demo 6 tab (Tổng quan, An ninh, Sự kiện, Cơ sở hạ tầng, Dịch vụ, Báo cáo) tại stadium-ioc/ — dữ liệu mẫu, chưa nối hệ thống thật.
→ Kết quả: Prototype demo phòng điều hành sân (VOC) để trình lãnh đạo xem trước.</t>
  </si>
  <si>
    <t>Xây dựng kiến trúc hệ thống PVF: IOC sân liên kết Smart City; thiết lập cấu trúc module và điểm tích hợp VOC (camera, BMS mái/HVAC, vé điện tử) — prototype dùng dữ liệu mẫu, có thể nối hệ thống thật sau.
→ Kết quả: Kiến trúc bản 1.</t>
  </si>
  <si>
    <t xml:space="preserve"> Hoàn thiện luồng vận hành 5 phòng + mô phỏng mái vòm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</si>
</sst>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0"/>
      <color rgb="FF50505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1"/>
      <color rgb="FF185FA5"/>
      <name val="Calibri"/>
    </font>
    <font>
      <b/>
      <sz val="11"/>
      <color rgb="FF9C0006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26B0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6F1FB"/>
      </patternFill>
    </fill>
    <fill>
      <patternFill patternType="solid">
        <fgColor rgb="FFFFC7CE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40404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0" fillId="0" borderId="2" xfId="0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4" fillId="8" borderId="4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center" vertical="top" wrapText="1"/>
    </xf>
    <xf numFmtId="0" fontId="4" fillId="7" borderId="7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Lộ trình 6 tuần: PVF (T1–3) → Smart City (T4–6)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PVF</c:v>
                </c:pt>
              </c:strCache>
            </c:strRef>
          </c:tx>
          <c:spPr>
            <a:solidFill>
              <a:srgbClr val="548235"/>
            </a:solidFill>
          </c:spPr>
          <c:invertIfNegative val="0"/>
          <c:cat>
            <c:strRef>
              <c:f>ChartData!$A$2:$A$7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ChartData!$B$2:$B$7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5-4645-A411-4566931F092C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Smart City</c:v>
                </c:pt>
              </c:strCache>
            </c:strRef>
          </c:tx>
          <c:spPr>
            <a:solidFill>
              <a:srgbClr val="E26B0A"/>
            </a:solidFill>
          </c:spPr>
          <c:invertIfNegative val="0"/>
          <c:cat>
            <c:strRef>
              <c:f>ChartData!$A$2:$A$7</c:f>
              <c:strCache>
                <c:ptCount val="6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</c:strCache>
            </c:strRef>
          </c:cat>
          <c:val>
            <c:numRef>
              <c:f>ChartData!$C$2:$C$7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5-4645-A411-4566931F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4853343"/>
        <c:axId val="1674853759"/>
      </c:barChart>
      <c:catAx>
        <c:axId val="167485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4853759"/>
        <c:crosses val="autoZero"/>
        <c:auto val="1"/>
        <c:lblAlgn val="ctr"/>
        <c:lblOffset val="100"/>
        <c:noMultiLvlLbl val="0"/>
      </c:catAx>
      <c:valAx>
        <c:axId val="16748537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4853343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Phạm vi 6 tab PVF (VOC–FIFA)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ChartData!$F$1</c:f>
              <c:strCache>
                <c:ptCount val="1"/>
                <c:pt idx="0">
                  <c:v>Số tab</c:v>
                </c:pt>
              </c:strCache>
            </c:strRef>
          </c:tx>
          <c:spPr>
            <a:solidFill>
              <a:srgbClr val="548235"/>
            </a:solidFill>
          </c:spPr>
          <c:invertIfNegative val="0"/>
          <c:cat>
            <c:strRef>
              <c:f>ChartData!$E$2:$E$7</c:f>
              <c:strCache>
                <c:ptCount val="6"/>
                <c:pt idx="0">
                  <c:v>Tổng quan</c:v>
                </c:pt>
                <c:pt idx="1">
                  <c:v>An ninh</c:v>
                </c:pt>
                <c:pt idx="2">
                  <c:v>Sự kiện</c:v>
                </c:pt>
                <c:pt idx="3">
                  <c:v>Cơ sở HT</c:v>
                </c:pt>
                <c:pt idx="4">
                  <c:v>Dịch vụ</c:v>
                </c:pt>
                <c:pt idx="5">
                  <c:v>Báo cáo</c:v>
                </c:pt>
              </c:strCache>
            </c:strRef>
          </c:cat>
          <c:val>
            <c:numRef>
              <c:f>ChartData!$F$2:$F$7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90-488F-8D5E-AD1566727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3153455"/>
        <c:axId val="1673158863"/>
      </c:barChart>
      <c:catAx>
        <c:axId val="1673153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73158863"/>
        <c:crosses val="autoZero"/>
        <c:auto val="1"/>
        <c:lblAlgn val="ctr"/>
        <c:lblOffset val="100"/>
        <c:noMultiLvlLbl val="0"/>
      </c:catAx>
      <c:valAx>
        <c:axId val="167315886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73153455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Khối lượng công việc theo tuần (PVF)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ChartData!$I$1</c:f>
              <c:strCache>
                <c:ptCount val="1"/>
                <c:pt idx="0">
                  <c:v>Công việc</c:v>
                </c:pt>
              </c:strCache>
            </c:strRef>
          </c:tx>
          <c:spPr>
            <a:solidFill>
              <a:srgbClr val="E26B0A"/>
            </a:solidFill>
          </c:spPr>
          <c:invertIfNegative val="0"/>
          <c:cat>
            <c:strRef>
              <c:f>ChartData!$H$2:$H$4</c:f>
              <c:strCache>
                <c:ptCount val="3"/>
                <c:pt idx="0">
                  <c:v>Tuần 1</c:v>
                </c:pt>
                <c:pt idx="1">
                  <c:v>Tuần 2</c:v>
                </c:pt>
                <c:pt idx="2">
                  <c:v>Tuần 3</c:v>
                </c:pt>
              </c:strCache>
            </c:strRef>
          </c:cat>
          <c:val>
            <c:numRef>
              <c:f>ChartData!$I$2:$I$4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C-4E55-B1E4-4C2B94733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8005759"/>
        <c:axId val="1715907631"/>
      </c:barChart>
      <c:catAx>
        <c:axId val="1048005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907631"/>
        <c:crosses val="autoZero"/>
        <c:auto val="1"/>
        <c:lblAlgn val="ctr"/>
        <c:lblOffset val="100"/>
        <c:noMultiLvlLbl val="0"/>
      </c:catAx>
      <c:valAx>
        <c:axId val="1715907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8005759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Phân bổ layout 6 tab Smart City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ChartData!$L$1</c:f>
              <c:strCache>
                <c:ptCount val="1"/>
                <c:pt idx="0">
                  <c:v>Số tab</c:v>
                </c:pt>
              </c:strCache>
            </c:strRef>
          </c:tx>
          <c:spPr>
            <a:solidFill>
              <a:srgbClr val="548235"/>
            </a:solidFill>
          </c:spPr>
          <c:dPt>
            <c:idx val="1"/>
            <c:bubble3D val="0"/>
            <c:spPr>
              <a:solidFill>
                <a:srgbClr val="E26B0A"/>
              </a:solidFill>
            </c:spPr>
            <c:extLst>
              <c:ext xmlns:c16="http://schemas.microsoft.com/office/drawing/2014/chart" uri="{C3380CC4-5D6E-409C-BE32-E72D297353CC}">
                <c16:uniqueId val="{00000004-6FBB-41F3-A58B-0FA4843A5D73}"/>
              </c:ext>
            </c:extLst>
          </c:dPt>
          <c:cat>
            <c:strRef>
              <c:f>ChartData!$K$2:$K$3</c:f>
              <c:strCache>
                <c:ptCount val="2"/>
                <c:pt idx="0">
                  <c:v>Ops classic</c:v>
                </c:pt>
                <c:pt idx="1">
                  <c:v>Command 3D</c:v>
                </c:pt>
              </c:strCache>
            </c:strRef>
          </c:cat>
          <c:val>
            <c:numRef>
              <c:f>ChartData!$L$2:$L$3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BB-41F3-A58B-0FA4843A5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Khối lượng công việc theo tuần (Smart City)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ChartData!$O$1</c:f>
              <c:strCache>
                <c:ptCount val="1"/>
                <c:pt idx="0">
                  <c:v>Công việc</c:v>
                </c:pt>
              </c:strCache>
            </c:strRef>
          </c:tx>
          <c:spPr>
            <a:solidFill>
              <a:srgbClr val="C55A11"/>
            </a:solidFill>
          </c:spPr>
          <c:invertIfNegative val="0"/>
          <c:cat>
            <c:strRef>
              <c:f>ChartData!$N$2:$N$4</c:f>
              <c:strCache>
                <c:ptCount val="3"/>
                <c:pt idx="0">
                  <c:v>Tuần 4</c:v>
                </c:pt>
                <c:pt idx="1">
                  <c:v>Tuần 5</c:v>
                </c:pt>
                <c:pt idx="2">
                  <c:v>Tuần 6</c:v>
                </c:pt>
              </c:strCache>
            </c:strRef>
          </c:cat>
          <c:val>
            <c:numRef>
              <c:f>ChartData!$O$2:$O$4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2-441A-97B7-8E55D892A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5891407"/>
        <c:axId val="1715900975"/>
      </c:barChart>
      <c:catAx>
        <c:axId val="1715891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15900975"/>
        <c:crosses val="autoZero"/>
        <c:auto val="1"/>
        <c:lblAlgn val="ctr"/>
        <c:lblOffset val="100"/>
        <c:noMultiLvlLbl val="0"/>
      </c:catAx>
      <c:valAx>
        <c:axId val="1715900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15891407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93980</xdr:colOff>
      <xdr:row>29</xdr:row>
      <xdr:rowOff>45720</xdr:rowOff>
    </xdr:from>
    <xdr:to>
      <xdr:col>4</xdr:col>
      <xdr:colOff>1226820</xdr:colOff>
      <xdr:row>43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B4847-E0BD-483F-8993-4763D60F7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60960</xdr:rowOff>
    </xdr:from>
    <xdr:to>
      <xdr:col>3</xdr:col>
      <xdr:colOff>358140</xdr:colOff>
      <xdr:row>51</xdr:row>
      <xdr:rowOff>35560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FC699-5455-49E4-8411-B735AF92A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487680</xdr:colOff>
      <xdr:row>37</xdr:row>
      <xdr:rowOff>60960</xdr:rowOff>
    </xdr:from>
    <xdr:to>
      <xdr:col>7</xdr:col>
      <xdr:colOff>30480</xdr:colOff>
      <xdr:row>51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C04AC-D5CB-4025-8A9B-039ED31A2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34</xdr:row>
      <xdr:rowOff>60960</xdr:rowOff>
    </xdr:from>
    <xdr:to>
      <xdr:col>3</xdr:col>
      <xdr:colOff>426720</xdr:colOff>
      <xdr:row>47</xdr:row>
      <xdr:rowOff>134620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EDECE-5844-463B-BD4E-0F451FD29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579120</xdr:colOff>
      <xdr:row>34</xdr:row>
      <xdr:rowOff>15240</xdr:rowOff>
    </xdr:from>
    <xdr:to>
      <xdr:col>7</xdr:col>
      <xdr:colOff>243840</xdr:colOff>
      <xdr:row>47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B4F15-8268-4411-810E-531A1BCFF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0</v>
      </c>
      <c r="I1" t="s">
        <v>5</v>
      </c>
      <c r="K1" t="s">
        <v>6</v>
      </c>
      <c r="L1" t="s">
        <v>4</v>
      </c>
      <c r="N1" t="s">
        <v>0</v>
      </c>
      <c r="O1" t="s">
        <v>5</v>
      </c>
    </row>
    <row r="2" spans="1:15" x14ac:dyDescent="0.3">
      <c r="A2" t="s">
        <v>7</v>
      </c>
      <c r="B2">
        <v>1</v>
      </c>
      <c r="C2">
        <v>0</v>
      </c>
      <c r="E2" t="s">
        <v>8</v>
      </c>
      <c r="F2">
        <v>1</v>
      </c>
      <c r="H2" t="s">
        <v>9</v>
      </c>
      <c r="I2">
        <v>5</v>
      </c>
      <c r="K2" t="s">
        <v>10</v>
      </c>
      <c r="L2">
        <v>4</v>
      </c>
      <c r="N2" t="s">
        <v>11</v>
      </c>
      <c r="O2">
        <v>3</v>
      </c>
    </row>
    <row r="3" spans="1:15" x14ac:dyDescent="0.3">
      <c r="A3" t="s">
        <v>12</v>
      </c>
      <c r="B3">
        <v>1</v>
      </c>
      <c r="C3">
        <v>0</v>
      </c>
      <c r="E3" t="s">
        <v>13</v>
      </c>
      <c r="F3">
        <v>1</v>
      </c>
      <c r="H3" t="s">
        <v>14</v>
      </c>
      <c r="I3">
        <v>4</v>
      </c>
      <c r="K3" t="s">
        <v>15</v>
      </c>
      <c r="L3">
        <v>2</v>
      </c>
      <c r="N3" t="s">
        <v>16</v>
      </c>
      <c r="O3">
        <v>4</v>
      </c>
    </row>
    <row r="4" spans="1:15" x14ac:dyDescent="0.3">
      <c r="A4" t="s">
        <v>17</v>
      </c>
      <c r="B4">
        <v>1</v>
      </c>
      <c r="C4">
        <v>0</v>
      </c>
      <c r="E4" t="s">
        <v>18</v>
      </c>
      <c r="F4">
        <v>1</v>
      </c>
      <c r="H4" t="s">
        <v>19</v>
      </c>
      <c r="I4">
        <v>3</v>
      </c>
      <c r="N4" t="s">
        <v>20</v>
      </c>
      <c r="O4">
        <v>3</v>
      </c>
    </row>
    <row r="5" spans="1:15" x14ac:dyDescent="0.3">
      <c r="A5" t="s">
        <v>21</v>
      </c>
      <c r="B5">
        <v>0</v>
      </c>
      <c r="C5">
        <v>1</v>
      </c>
      <c r="E5" t="s">
        <v>22</v>
      </c>
      <c r="F5">
        <v>1</v>
      </c>
    </row>
    <row r="6" spans="1:15" x14ac:dyDescent="0.3">
      <c r="A6" t="s">
        <v>23</v>
      </c>
      <c r="B6">
        <v>0</v>
      </c>
      <c r="C6">
        <v>1</v>
      </c>
      <c r="E6" t="s">
        <v>24</v>
      </c>
      <c r="F6">
        <v>1</v>
      </c>
    </row>
    <row r="7" spans="1:15" x14ac:dyDescent="0.3">
      <c r="A7" t="s">
        <v>25</v>
      </c>
      <c r="B7">
        <v>0</v>
      </c>
      <c r="C7">
        <v>1</v>
      </c>
      <c r="E7" t="s">
        <v>26</v>
      </c>
      <c r="F7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8"/>
  <sheetViews>
    <sheetView showGridLines="0" tabSelected="1" workbookViewId="0">
      <selection activeCell="A6" sqref="A6:XFD6"/>
    </sheetView>
  </sheetViews>
  <sheetFormatPr defaultRowHeight="14.4" x14ac:dyDescent="0.3"/>
  <cols>
    <col min="1" max="1" width="14" customWidth="1"/>
    <col min="2" max="2" width="14.33203125" customWidth="1"/>
    <col min="3" max="3" width="22" customWidth="1"/>
    <col min="4" max="4" width="14" customWidth="1"/>
    <col min="5" max="5" width="18" customWidth="1"/>
  </cols>
  <sheetData>
    <row r="1" spans="1:5" ht="18" x14ac:dyDescent="0.3">
      <c r="A1" s="15" t="s">
        <v>27</v>
      </c>
      <c r="B1" s="15"/>
      <c r="C1" s="15"/>
      <c r="D1" s="15"/>
      <c r="E1" s="15"/>
    </row>
    <row r="2" spans="1:5" x14ac:dyDescent="0.3">
      <c r="A2" s="16" t="s">
        <v>28</v>
      </c>
      <c r="B2" s="16"/>
      <c r="C2" s="16"/>
      <c r="D2" s="16"/>
      <c r="E2" s="16"/>
    </row>
    <row r="4" spans="1:5" x14ac:dyDescent="0.3">
      <c r="A4" s="24" t="s">
        <v>29</v>
      </c>
      <c r="B4" s="24"/>
      <c r="C4" s="24"/>
      <c r="D4" s="24"/>
      <c r="E4" s="24"/>
    </row>
    <row r="5" spans="1:5" ht="24" customHeight="1" x14ac:dyDescent="0.3">
      <c r="A5" s="25" t="s">
        <v>30</v>
      </c>
      <c r="B5" s="25" t="s">
        <v>0</v>
      </c>
      <c r="C5" s="25" t="s">
        <v>31</v>
      </c>
      <c r="D5" s="25" t="s">
        <v>32</v>
      </c>
      <c r="E5" s="25" t="s">
        <v>33</v>
      </c>
    </row>
    <row r="6" spans="1:5" ht="30.6" customHeight="1" x14ac:dyDescent="0.3">
      <c r="A6" s="2" t="s">
        <v>1</v>
      </c>
      <c r="B6" s="2" t="s">
        <v>34</v>
      </c>
      <c r="C6" s="8" t="s">
        <v>35</v>
      </c>
      <c r="D6" s="13" t="s">
        <v>36</v>
      </c>
      <c r="E6" s="13"/>
    </row>
    <row r="7" spans="1:5" ht="30" customHeight="1" x14ac:dyDescent="0.3">
      <c r="A7" s="4" t="s">
        <v>1</v>
      </c>
      <c r="B7" s="4" t="s">
        <v>37</v>
      </c>
      <c r="C7" s="9" t="s">
        <v>38</v>
      </c>
      <c r="D7" s="14" t="s">
        <v>39</v>
      </c>
      <c r="E7" s="14"/>
    </row>
    <row r="8" spans="1:5" ht="30" customHeight="1" x14ac:dyDescent="0.3">
      <c r="A8" s="2" t="s">
        <v>1</v>
      </c>
      <c r="B8" s="2" t="s">
        <v>40</v>
      </c>
      <c r="C8" s="8" t="s">
        <v>41</v>
      </c>
      <c r="D8" s="13" t="s">
        <v>42</v>
      </c>
      <c r="E8" s="13"/>
    </row>
    <row r="9" spans="1:5" ht="21" customHeight="1" x14ac:dyDescent="0.3">
      <c r="A9" s="4" t="s">
        <v>2</v>
      </c>
      <c r="B9" s="4" t="s">
        <v>43</v>
      </c>
      <c r="C9" s="9" t="s">
        <v>44</v>
      </c>
      <c r="D9" s="14" t="s">
        <v>45</v>
      </c>
      <c r="E9" s="14"/>
    </row>
    <row r="10" spans="1:5" ht="31.8" customHeight="1" x14ac:dyDescent="0.3">
      <c r="A10" s="2" t="s">
        <v>2</v>
      </c>
      <c r="B10" s="2" t="s">
        <v>46</v>
      </c>
      <c r="C10" s="8" t="s">
        <v>47</v>
      </c>
      <c r="D10" s="13" t="s">
        <v>48</v>
      </c>
      <c r="E10" s="13"/>
    </row>
    <row r="11" spans="1:5" ht="31.2" customHeight="1" x14ac:dyDescent="0.3">
      <c r="A11" s="4" t="s">
        <v>2</v>
      </c>
      <c r="B11" s="4" t="s">
        <v>49</v>
      </c>
      <c r="C11" s="9" t="s">
        <v>50</v>
      </c>
      <c r="D11" s="14" t="s">
        <v>51</v>
      </c>
      <c r="E11" s="14"/>
    </row>
    <row r="12" spans="1:5" x14ac:dyDescent="0.3">
      <c r="A12" s="26"/>
      <c r="B12" s="26"/>
      <c r="C12" s="26"/>
      <c r="D12" s="26"/>
      <c r="E12" s="26"/>
    </row>
    <row r="13" spans="1:5" x14ac:dyDescent="0.3">
      <c r="A13" s="23" t="s">
        <v>52</v>
      </c>
      <c r="B13" s="23"/>
      <c r="C13" s="23"/>
      <c r="D13" s="23"/>
      <c r="E13" s="26"/>
    </row>
    <row r="14" spans="1:5" ht="24" customHeight="1" x14ac:dyDescent="0.3">
      <c r="A14" s="10" t="s">
        <v>53</v>
      </c>
      <c r="B14" s="12" t="s">
        <v>54</v>
      </c>
      <c r="C14" s="12"/>
      <c r="D14" s="10" t="s">
        <v>55</v>
      </c>
      <c r="E14" s="26"/>
    </row>
    <row r="15" spans="1:5" ht="43.2" x14ac:dyDescent="0.3">
      <c r="A15" s="8" t="s">
        <v>56</v>
      </c>
      <c r="B15" s="13" t="s">
        <v>57</v>
      </c>
      <c r="C15" s="13"/>
      <c r="D15" s="8" t="s">
        <v>9</v>
      </c>
      <c r="E15" s="26"/>
    </row>
    <row r="16" spans="1:5" ht="27" customHeight="1" x14ac:dyDescent="0.3">
      <c r="A16" s="9" t="s">
        <v>58</v>
      </c>
      <c r="B16" s="14" t="s">
        <v>59</v>
      </c>
      <c r="C16" s="14"/>
      <c r="D16" s="9" t="s">
        <v>60</v>
      </c>
      <c r="E16" s="26"/>
    </row>
    <row r="17" spans="1:5" ht="28.8" x14ac:dyDescent="0.3">
      <c r="A17" s="8" t="s">
        <v>61</v>
      </c>
      <c r="B17" s="13" t="s">
        <v>62</v>
      </c>
      <c r="C17" s="13"/>
      <c r="D17" s="8" t="s">
        <v>19</v>
      </c>
      <c r="E17" s="26"/>
    </row>
    <row r="18" spans="1:5" ht="28.8" x14ac:dyDescent="0.3">
      <c r="A18" s="9" t="s">
        <v>63</v>
      </c>
      <c r="B18" s="14" t="s">
        <v>64</v>
      </c>
      <c r="C18" s="14"/>
      <c r="D18" s="9" t="s">
        <v>20</v>
      </c>
      <c r="E18" s="26"/>
    </row>
    <row r="19" spans="1:5" ht="28.8" x14ac:dyDescent="0.3">
      <c r="A19" s="8" t="s">
        <v>65</v>
      </c>
      <c r="B19" s="13" t="s">
        <v>66</v>
      </c>
      <c r="C19" s="13"/>
      <c r="D19" s="8" t="s">
        <v>67</v>
      </c>
      <c r="E19" s="26"/>
    </row>
    <row r="20" spans="1:5" ht="28.8" x14ac:dyDescent="0.3">
      <c r="A20" s="9" t="s">
        <v>68</v>
      </c>
      <c r="B20" s="14" t="s">
        <v>69</v>
      </c>
      <c r="C20" s="14"/>
      <c r="D20" s="9" t="s">
        <v>70</v>
      </c>
      <c r="E20" s="26"/>
    </row>
    <row r="21" spans="1:5" x14ac:dyDescent="0.3">
      <c r="A21" s="26"/>
      <c r="B21" s="26"/>
      <c r="C21" s="26"/>
      <c r="D21" s="26"/>
      <c r="E21" s="26"/>
    </row>
    <row r="22" spans="1:5" x14ac:dyDescent="0.3">
      <c r="A22" s="24" t="s">
        <v>71</v>
      </c>
      <c r="B22" s="24"/>
      <c r="C22" s="24"/>
      <c r="D22" s="24"/>
      <c r="E22" s="24"/>
    </row>
    <row r="23" spans="1:5" ht="24" customHeight="1" x14ac:dyDescent="0.3">
      <c r="A23" s="10" t="s">
        <v>72</v>
      </c>
      <c r="B23" s="12" t="s">
        <v>73</v>
      </c>
      <c r="C23" s="12"/>
      <c r="D23" s="12"/>
      <c r="E23" s="12"/>
    </row>
    <row r="24" spans="1:5" ht="43.2" x14ac:dyDescent="0.3">
      <c r="A24" s="8" t="s">
        <v>74</v>
      </c>
      <c r="B24" s="13" t="s">
        <v>75</v>
      </c>
      <c r="C24" s="13"/>
      <c r="D24" s="13"/>
      <c r="E24" s="13"/>
    </row>
    <row r="25" spans="1:5" ht="28.8" x14ac:dyDescent="0.3">
      <c r="A25" s="9" t="s">
        <v>76</v>
      </c>
      <c r="B25" s="14" t="s">
        <v>77</v>
      </c>
      <c r="C25" s="14"/>
      <c r="D25" s="14"/>
      <c r="E25" s="14"/>
    </row>
    <row r="26" spans="1:5" ht="28.8" x14ac:dyDescent="0.3">
      <c r="A26" s="8" t="s">
        <v>78</v>
      </c>
      <c r="B26" s="13" t="s">
        <v>79</v>
      </c>
      <c r="C26" s="13"/>
      <c r="D26" s="13"/>
      <c r="E26" s="13"/>
    </row>
    <row r="27" spans="1:5" ht="28.8" x14ac:dyDescent="0.3">
      <c r="A27" s="9" t="s">
        <v>80</v>
      </c>
      <c r="B27" s="14" t="s">
        <v>81</v>
      </c>
      <c r="C27" s="14"/>
      <c r="D27" s="14"/>
      <c r="E27" s="14"/>
    </row>
    <row r="28" spans="1:5" ht="43.2" x14ac:dyDescent="0.3">
      <c r="A28" s="8" t="s">
        <v>82</v>
      </c>
      <c r="B28" s="13" t="s">
        <v>83</v>
      </c>
      <c r="C28" s="13"/>
      <c r="D28" s="13"/>
      <c r="E28" s="13"/>
    </row>
  </sheetData>
  <mergeCells count="24">
    <mergeCell ref="A1:E1"/>
    <mergeCell ref="A2:E2"/>
    <mergeCell ref="A4:E4"/>
    <mergeCell ref="D6:E6"/>
    <mergeCell ref="D7:E7"/>
    <mergeCell ref="D8:E8"/>
    <mergeCell ref="D9:E9"/>
    <mergeCell ref="D10:E10"/>
    <mergeCell ref="D11:E11"/>
    <mergeCell ref="A13:D13"/>
    <mergeCell ref="B14:C14"/>
    <mergeCell ref="B15:C15"/>
    <mergeCell ref="B16:C16"/>
    <mergeCell ref="B17:C17"/>
    <mergeCell ref="B18:C18"/>
    <mergeCell ref="B25:E25"/>
    <mergeCell ref="B26:E26"/>
    <mergeCell ref="B27:E27"/>
    <mergeCell ref="B28:E28"/>
    <mergeCell ref="B19:C19"/>
    <mergeCell ref="B20:C20"/>
    <mergeCell ref="A22:E22"/>
    <mergeCell ref="B23:E23"/>
    <mergeCell ref="B24:E2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6"/>
  <sheetViews>
    <sheetView showGridLines="0" topLeftCell="A19" workbookViewId="0">
      <selection activeCell="G20" sqref="G20"/>
    </sheetView>
  </sheetViews>
  <sheetFormatPr defaultRowHeight="14.4" x14ac:dyDescent="0.3"/>
  <cols>
    <col min="1" max="1" width="6" customWidth="1"/>
    <col min="2" max="2" width="24" customWidth="1"/>
    <col min="3" max="4" width="22" customWidth="1"/>
    <col min="5" max="6" width="14" customWidth="1"/>
  </cols>
  <sheetData>
    <row r="1" spans="1:6" ht="18" x14ac:dyDescent="0.3">
      <c r="A1" s="15" t="s">
        <v>84</v>
      </c>
      <c r="B1" s="15"/>
      <c r="C1" s="15"/>
      <c r="D1" s="15"/>
      <c r="E1" s="15"/>
      <c r="F1" s="15"/>
    </row>
    <row r="2" spans="1:6" x14ac:dyDescent="0.3">
      <c r="A2" s="16" t="s">
        <v>85</v>
      </c>
      <c r="B2" s="16"/>
      <c r="C2" s="16"/>
      <c r="D2" s="16"/>
      <c r="E2" s="16"/>
      <c r="F2" s="16"/>
    </row>
    <row r="4" spans="1:6" x14ac:dyDescent="0.3">
      <c r="A4" s="27" t="s">
        <v>208</v>
      </c>
      <c r="B4" s="27"/>
      <c r="C4" s="27"/>
      <c r="D4" s="27"/>
      <c r="E4" s="27"/>
      <c r="F4" s="27"/>
    </row>
    <row r="5" spans="1:6" x14ac:dyDescent="0.3">
      <c r="A5" s="22" t="s">
        <v>86</v>
      </c>
      <c r="B5" s="22"/>
      <c r="C5" s="22"/>
      <c r="D5" s="22"/>
      <c r="E5" s="22"/>
      <c r="F5" s="22"/>
    </row>
    <row r="6" spans="1:6" x14ac:dyDescent="0.3">
      <c r="A6" s="22" t="s">
        <v>87</v>
      </c>
      <c r="B6" s="22"/>
      <c r="C6" s="22"/>
      <c r="D6" s="22"/>
      <c r="E6" s="22"/>
      <c r="F6" s="22"/>
    </row>
    <row r="7" spans="1:6" x14ac:dyDescent="0.3">
      <c r="A7" s="22" t="s">
        <v>88</v>
      </c>
      <c r="B7" s="22"/>
      <c r="C7" s="22"/>
      <c r="D7" s="22"/>
      <c r="E7" s="22"/>
      <c r="F7" s="22"/>
    </row>
    <row r="8" spans="1:6" x14ac:dyDescent="0.3">
      <c r="A8" s="22" t="s">
        <v>89</v>
      </c>
      <c r="B8" s="22"/>
      <c r="C8" s="22"/>
      <c r="D8" s="22"/>
      <c r="E8" s="22"/>
      <c r="F8" s="22"/>
    </row>
    <row r="10" spans="1:6" ht="24" customHeight="1" x14ac:dyDescent="0.3">
      <c r="A10" s="1" t="s">
        <v>90</v>
      </c>
      <c r="B10" s="1" t="s">
        <v>91</v>
      </c>
      <c r="C10" s="12" t="s">
        <v>92</v>
      </c>
      <c r="D10" s="12"/>
      <c r="E10" s="1" t="s">
        <v>93</v>
      </c>
      <c r="F10" s="1" t="s">
        <v>94</v>
      </c>
    </row>
    <row r="11" spans="1:6" x14ac:dyDescent="0.3">
      <c r="A11" s="17" t="s">
        <v>95</v>
      </c>
      <c r="B11" s="17"/>
      <c r="C11" s="17"/>
      <c r="D11" s="17"/>
      <c r="E11" s="17"/>
      <c r="F11" s="17"/>
    </row>
    <row r="12" spans="1:6" ht="58.2" customHeight="1" x14ac:dyDescent="0.3">
      <c r="A12" s="2" t="s">
        <v>96</v>
      </c>
      <c r="B12" s="3" t="s">
        <v>97</v>
      </c>
      <c r="C12" s="13" t="s">
        <v>98</v>
      </c>
      <c r="D12" s="13"/>
      <c r="E12" s="6" t="s">
        <v>99</v>
      </c>
      <c r="F12" s="3" t="s">
        <v>9</v>
      </c>
    </row>
    <row r="13" spans="1:6" ht="76.2" customHeight="1" x14ac:dyDescent="0.3">
      <c r="A13" s="4" t="s">
        <v>100</v>
      </c>
      <c r="B13" s="5" t="s">
        <v>101</v>
      </c>
      <c r="C13" s="14" t="s">
        <v>219</v>
      </c>
      <c r="D13" s="14"/>
      <c r="E13" s="6" t="s">
        <v>99</v>
      </c>
      <c r="F13" s="5" t="s">
        <v>9</v>
      </c>
    </row>
    <row r="14" spans="1:6" ht="93.6" customHeight="1" x14ac:dyDescent="0.3">
      <c r="A14" s="2" t="s">
        <v>102</v>
      </c>
      <c r="B14" s="3" t="s">
        <v>103</v>
      </c>
      <c r="C14" s="13" t="s">
        <v>220</v>
      </c>
      <c r="D14" s="13"/>
      <c r="E14" s="6" t="s">
        <v>99</v>
      </c>
      <c r="F14" s="3" t="s">
        <v>9</v>
      </c>
    </row>
    <row r="15" spans="1:6" ht="64.2" customHeight="1" x14ac:dyDescent="0.3">
      <c r="A15" s="4" t="s">
        <v>104</v>
      </c>
      <c r="B15" s="5" t="s">
        <v>105</v>
      </c>
      <c r="C15" s="14" t="s">
        <v>213</v>
      </c>
      <c r="D15" s="14"/>
      <c r="E15" s="6" t="s">
        <v>99</v>
      </c>
      <c r="F15" s="5" t="s">
        <v>106</v>
      </c>
    </row>
    <row r="16" spans="1:6" ht="49.2" customHeight="1" x14ac:dyDescent="0.3">
      <c r="A16" s="33" t="s">
        <v>107</v>
      </c>
      <c r="B16" s="34" t="s">
        <v>108</v>
      </c>
      <c r="C16" s="35" t="s">
        <v>109</v>
      </c>
      <c r="D16" s="35"/>
      <c r="E16" s="36" t="s">
        <v>110</v>
      </c>
      <c r="F16" s="34" t="s">
        <v>111</v>
      </c>
    </row>
    <row r="17" spans="1:6" ht="75" customHeight="1" x14ac:dyDescent="0.3">
      <c r="A17" s="40">
        <v>1.6</v>
      </c>
      <c r="B17" s="41" t="s">
        <v>217</v>
      </c>
      <c r="C17" s="42" t="s">
        <v>218</v>
      </c>
      <c r="D17" s="42"/>
      <c r="E17" s="36" t="s">
        <v>110</v>
      </c>
      <c r="F17" s="41"/>
    </row>
    <row r="18" spans="1:6" ht="14.4" customHeight="1" x14ac:dyDescent="0.3">
      <c r="A18" s="37" t="s">
        <v>112</v>
      </c>
      <c r="B18" s="38"/>
      <c r="C18" s="38"/>
      <c r="D18" s="38"/>
      <c r="E18" s="38"/>
      <c r="F18" s="39"/>
    </row>
    <row r="19" spans="1:6" ht="50.4" customHeight="1" x14ac:dyDescent="0.3">
      <c r="A19" s="4" t="s">
        <v>113</v>
      </c>
      <c r="B19" s="5" t="s">
        <v>114</v>
      </c>
      <c r="C19" s="14" t="s">
        <v>115</v>
      </c>
      <c r="D19" s="14"/>
      <c r="E19" s="7" t="s">
        <v>110</v>
      </c>
      <c r="F19" s="5" t="s">
        <v>116</v>
      </c>
    </row>
    <row r="20" spans="1:6" ht="91.8" customHeight="1" x14ac:dyDescent="0.3">
      <c r="A20" s="2" t="s">
        <v>117</v>
      </c>
      <c r="B20" s="3" t="s">
        <v>118</v>
      </c>
      <c r="C20" s="13" t="s">
        <v>221</v>
      </c>
      <c r="D20" s="13"/>
      <c r="E20" s="7" t="s">
        <v>110</v>
      </c>
      <c r="F20" s="3"/>
    </row>
    <row r="21" spans="1:6" ht="33.6" customHeight="1" x14ac:dyDescent="0.3">
      <c r="A21" s="4" t="s">
        <v>119</v>
      </c>
      <c r="B21" s="5" t="s">
        <v>120</v>
      </c>
      <c r="C21" s="14" t="s">
        <v>121</v>
      </c>
      <c r="D21" s="14"/>
      <c r="E21" s="7" t="s">
        <v>110</v>
      </c>
      <c r="F21" s="5" t="s">
        <v>122</v>
      </c>
    </row>
    <row r="22" spans="1:6" ht="34.200000000000003" customHeight="1" x14ac:dyDescent="0.3">
      <c r="A22" s="2" t="s">
        <v>123</v>
      </c>
      <c r="B22" s="3" t="s">
        <v>124</v>
      </c>
      <c r="C22" s="13" t="s">
        <v>125</v>
      </c>
      <c r="D22" s="13"/>
      <c r="E22" s="7" t="s">
        <v>110</v>
      </c>
      <c r="F22" s="3" t="s">
        <v>209</v>
      </c>
    </row>
    <row r="23" spans="1:6" ht="14.4" customHeight="1" x14ac:dyDescent="0.3">
      <c r="A23" s="30" t="s">
        <v>127</v>
      </c>
      <c r="B23" s="31"/>
      <c r="C23" s="31"/>
      <c r="D23" s="31"/>
      <c r="E23" s="31"/>
      <c r="F23" s="32"/>
    </row>
    <row r="24" spans="1:6" ht="46.8" customHeight="1" x14ac:dyDescent="0.3">
      <c r="A24" s="4" t="s">
        <v>128</v>
      </c>
      <c r="B24" s="5" t="s">
        <v>129</v>
      </c>
      <c r="C24" s="14" t="s">
        <v>130</v>
      </c>
      <c r="D24" s="14"/>
      <c r="E24" s="7" t="s">
        <v>110</v>
      </c>
      <c r="F24" s="5" t="s">
        <v>19</v>
      </c>
    </row>
    <row r="25" spans="1:6" ht="61.2" customHeight="1" x14ac:dyDescent="0.3">
      <c r="A25" s="4">
        <v>3.2</v>
      </c>
      <c r="B25" s="9" t="s">
        <v>215</v>
      </c>
      <c r="C25" s="53" t="s">
        <v>216</v>
      </c>
      <c r="D25" s="54"/>
      <c r="E25" s="7" t="s">
        <v>110</v>
      </c>
      <c r="F25" s="9"/>
    </row>
    <row r="26" spans="1:6" ht="32.4" customHeight="1" x14ac:dyDescent="0.3">
      <c r="A26" s="2" t="s">
        <v>131</v>
      </c>
      <c r="B26" s="3" t="s">
        <v>132</v>
      </c>
      <c r="C26" s="13" t="s">
        <v>133</v>
      </c>
      <c r="D26" s="13"/>
      <c r="E26" s="7" t="s">
        <v>110</v>
      </c>
      <c r="F26" s="3" t="s">
        <v>19</v>
      </c>
    </row>
    <row r="27" spans="1:6" ht="31.8" customHeight="1" x14ac:dyDescent="0.3">
      <c r="A27" s="43" t="s">
        <v>134</v>
      </c>
      <c r="B27" s="44" t="s">
        <v>135</v>
      </c>
      <c r="C27" s="45" t="s">
        <v>136</v>
      </c>
      <c r="D27" s="45"/>
      <c r="E27" s="36" t="s">
        <v>110</v>
      </c>
      <c r="F27" s="44" t="s">
        <v>137</v>
      </c>
    </row>
    <row r="28" spans="1:6" ht="58.2" customHeight="1" x14ac:dyDescent="0.3">
      <c r="A28" s="49">
        <v>3.4</v>
      </c>
      <c r="B28" s="50" t="s">
        <v>222</v>
      </c>
      <c r="C28" s="51" t="s">
        <v>214</v>
      </c>
      <c r="D28" s="52"/>
      <c r="E28" s="36" t="s">
        <v>110</v>
      </c>
      <c r="F28" s="50"/>
    </row>
    <row r="29" spans="1:6" x14ac:dyDescent="0.3">
      <c r="A29" s="46" t="s">
        <v>138</v>
      </c>
      <c r="B29" s="47"/>
      <c r="C29" s="47"/>
      <c r="D29" s="47"/>
      <c r="E29" s="48"/>
    </row>
    <row r="30" spans="1:6" ht="24" customHeight="1" x14ac:dyDescent="0.3">
      <c r="A30" s="1" t="s">
        <v>139</v>
      </c>
      <c r="B30" s="1" t="s">
        <v>3</v>
      </c>
      <c r="C30" s="12" t="s">
        <v>140</v>
      </c>
      <c r="D30" s="12"/>
      <c r="E30" s="1" t="s">
        <v>141</v>
      </c>
    </row>
    <row r="31" spans="1:6" ht="28.8" x14ac:dyDescent="0.3">
      <c r="A31" s="2" t="s">
        <v>34</v>
      </c>
      <c r="B31" s="3" t="s">
        <v>8</v>
      </c>
      <c r="C31" s="13" t="s">
        <v>142</v>
      </c>
      <c r="D31" s="13"/>
      <c r="E31" s="3" t="s">
        <v>143</v>
      </c>
    </row>
    <row r="32" spans="1:6" ht="28.8" x14ac:dyDescent="0.3">
      <c r="A32" s="4" t="s">
        <v>37</v>
      </c>
      <c r="B32" s="5" t="s">
        <v>13</v>
      </c>
      <c r="C32" s="14" t="s">
        <v>144</v>
      </c>
      <c r="D32" s="14"/>
      <c r="E32" s="5" t="s">
        <v>145</v>
      </c>
    </row>
    <row r="33" spans="1:5" ht="28.8" x14ac:dyDescent="0.3">
      <c r="A33" s="2" t="s">
        <v>40</v>
      </c>
      <c r="B33" s="3" t="s">
        <v>18</v>
      </c>
      <c r="C33" s="13" t="s">
        <v>146</v>
      </c>
      <c r="D33" s="13"/>
      <c r="E33" s="3" t="s">
        <v>147</v>
      </c>
    </row>
    <row r="34" spans="1:5" ht="28.8" x14ac:dyDescent="0.3">
      <c r="A34" s="4" t="s">
        <v>43</v>
      </c>
      <c r="B34" s="5" t="s">
        <v>148</v>
      </c>
      <c r="C34" s="14" t="s">
        <v>149</v>
      </c>
      <c r="D34" s="14"/>
      <c r="E34" s="5" t="s">
        <v>150</v>
      </c>
    </row>
    <row r="35" spans="1:5" ht="28.8" x14ac:dyDescent="0.3">
      <c r="A35" s="2" t="s">
        <v>46</v>
      </c>
      <c r="B35" s="3" t="s">
        <v>24</v>
      </c>
      <c r="C35" s="13" t="s">
        <v>151</v>
      </c>
      <c r="D35" s="13"/>
      <c r="E35" s="3" t="s">
        <v>152</v>
      </c>
    </row>
    <row r="36" spans="1:5" ht="25.2" customHeight="1" x14ac:dyDescent="0.3">
      <c r="A36" s="4" t="s">
        <v>49</v>
      </c>
      <c r="B36" s="5" t="s">
        <v>26</v>
      </c>
      <c r="C36" s="14" t="s">
        <v>153</v>
      </c>
      <c r="D36" s="14"/>
      <c r="E36" s="5" t="s">
        <v>154</v>
      </c>
    </row>
  </sheetData>
  <mergeCells count="34">
    <mergeCell ref="A23:F23"/>
    <mergeCell ref="A18:F18"/>
    <mergeCell ref="C17:D17"/>
    <mergeCell ref="C28:D28"/>
    <mergeCell ref="C25:D25"/>
    <mergeCell ref="A1:F1"/>
    <mergeCell ref="A2:F2"/>
    <mergeCell ref="A4:F4"/>
    <mergeCell ref="A5:F5"/>
    <mergeCell ref="A6:F6"/>
    <mergeCell ref="A7:F7"/>
    <mergeCell ref="A8:F8"/>
    <mergeCell ref="C10:D10"/>
    <mergeCell ref="A11:F11"/>
    <mergeCell ref="C12:D12"/>
    <mergeCell ref="C13:D13"/>
    <mergeCell ref="C14:D14"/>
    <mergeCell ref="C15:D15"/>
    <mergeCell ref="C16:D16"/>
    <mergeCell ref="C19:D19"/>
    <mergeCell ref="C20:D20"/>
    <mergeCell ref="C21:D21"/>
    <mergeCell ref="C22:D22"/>
    <mergeCell ref="C24:D24"/>
    <mergeCell ref="C26:D26"/>
    <mergeCell ref="C27:D27"/>
    <mergeCell ref="A29:E29"/>
    <mergeCell ref="C30:D30"/>
    <mergeCell ref="C36:D36"/>
    <mergeCell ref="C31:D31"/>
    <mergeCell ref="C32:D32"/>
    <mergeCell ref="C33:D33"/>
    <mergeCell ref="C34:D34"/>
    <mergeCell ref="C35:D3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3"/>
  <sheetViews>
    <sheetView showGridLines="0" workbookViewId="0">
      <selection activeCell="I33" sqref="I33"/>
    </sheetView>
  </sheetViews>
  <sheetFormatPr defaultRowHeight="14.4" x14ac:dyDescent="0.3"/>
  <cols>
    <col min="1" max="1" width="6" customWidth="1"/>
    <col min="2" max="2" width="24" customWidth="1"/>
    <col min="3" max="4" width="22" customWidth="1"/>
    <col min="5" max="6" width="14" customWidth="1"/>
  </cols>
  <sheetData>
    <row r="1" spans="1:6" ht="18" x14ac:dyDescent="0.3">
      <c r="A1" s="15" t="s">
        <v>155</v>
      </c>
      <c r="B1" s="15"/>
      <c r="C1" s="15"/>
      <c r="D1" s="15"/>
      <c r="E1" s="15"/>
      <c r="F1" s="15"/>
    </row>
    <row r="2" spans="1:6" x14ac:dyDescent="0.3">
      <c r="A2" s="16" t="s">
        <v>156</v>
      </c>
      <c r="B2" s="16"/>
      <c r="C2" s="16"/>
      <c r="D2" s="16"/>
      <c r="E2" s="16"/>
      <c r="F2" s="16"/>
    </row>
    <row r="4" spans="1:6" x14ac:dyDescent="0.3">
      <c r="A4" s="21" t="s">
        <v>208</v>
      </c>
      <c r="B4" s="21"/>
      <c r="C4" s="21"/>
      <c r="D4" s="21"/>
      <c r="E4" s="21"/>
      <c r="F4" s="21"/>
    </row>
    <row r="5" spans="1:6" x14ac:dyDescent="0.3">
      <c r="A5" s="22" t="s">
        <v>157</v>
      </c>
      <c r="B5" s="22"/>
      <c r="C5" s="22"/>
      <c r="D5" s="22"/>
      <c r="E5" s="22"/>
      <c r="F5" s="22"/>
    </row>
    <row r="6" spans="1:6" x14ac:dyDescent="0.3">
      <c r="A6" s="22" t="s">
        <v>158</v>
      </c>
      <c r="B6" s="22"/>
      <c r="C6" s="22"/>
      <c r="D6" s="22"/>
      <c r="E6" s="22"/>
      <c r="F6" s="22"/>
    </row>
    <row r="7" spans="1:6" x14ac:dyDescent="0.3">
      <c r="A7" s="22" t="s">
        <v>159</v>
      </c>
      <c r="B7" s="22"/>
      <c r="C7" s="22"/>
      <c r="D7" s="22"/>
      <c r="E7" s="22"/>
      <c r="F7" s="22"/>
    </row>
    <row r="8" spans="1:6" x14ac:dyDescent="0.3">
      <c r="A8" s="22" t="s">
        <v>160</v>
      </c>
      <c r="B8" s="22"/>
      <c r="C8" s="22"/>
      <c r="D8" s="22"/>
      <c r="E8" s="22"/>
      <c r="F8" s="22"/>
    </row>
    <row r="10" spans="1:6" ht="24" customHeight="1" x14ac:dyDescent="0.3">
      <c r="A10" s="1" t="s">
        <v>90</v>
      </c>
      <c r="B10" s="1" t="s">
        <v>91</v>
      </c>
      <c r="C10" s="12" t="s">
        <v>92</v>
      </c>
      <c r="D10" s="12"/>
      <c r="E10" s="1" t="s">
        <v>93</v>
      </c>
      <c r="F10" s="1" t="s">
        <v>94</v>
      </c>
    </row>
    <row r="11" spans="1:6" x14ac:dyDescent="0.3">
      <c r="A11" s="20" t="s">
        <v>161</v>
      </c>
      <c r="B11" s="20"/>
      <c r="C11" s="20"/>
      <c r="D11" s="20"/>
      <c r="E11" s="20"/>
      <c r="F11" s="20"/>
    </row>
    <row r="12" spans="1:6" ht="33.6" customHeight="1" x14ac:dyDescent="0.3">
      <c r="A12" s="2" t="s">
        <v>162</v>
      </c>
      <c r="B12" s="3" t="s">
        <v>163</v>
      </c>
      <c r="C12" s="13" t="s">
        <v>164</v>
      </c>
      <c r="D12" s="13"/>
      <c r="E12" s="7" t="s">
        <v>110</v>
      </c>
      <c r="F12" s="3" t="s">
        <v>11</v>
      </c>
    </row>
    <row r="13" spans="1:6" ht="61.2" customHeight="1" x14ac:dyDescent="0.3">
      <c r="A13" s="2" t="s">
        <v>210</v>
      </c>
      <c r="B13" s="8" t="s">
        <v>211</v>
      </c>
      <c r="C13" s="28" t="s">
        <v>212</v>
      </c>
      <c r="D13" s="29"/>
      <c r="E13" s="7" t="s">
        <v>110</v>
      </c>
      <c r="F13" s="8"/>
    </row>
    <row r="14" spans="1:6" ht="29.4" customHeight="1" x14ac:dyDescent="0.3">
      <c r="A14" s="4" t="s">
        <v>165</v>
      </c>
      <c r="B14" s="5" t="s">
        <v>166</v>
      </c>
      <c r="C14" s="14" t="s">
        <v>167</v>
      </c>
      <c r="D14" s="14"/>
      <c r="E14" s="7" t="s">
        <v>110</v>
      </c>
      <c r="F14" s="5" t="s">
        <v>168</v>
      </c>
    </row>
    <row r="15" spans="1:6" ht="46.8" customHeight="1" x14ac:dyDescent="0.3">
      <c r="A15" s="2" t="s">
        <v>169</v>
      </c>
      <c r="B15" s="3" t="s">
        <v>170</v>
      </c>
      <c r="C15" s="13" t="s">
        <v>171</v>
      </c>
      <c r="D15" s="13"/>
      <c r="E15" s="7" t="s">
        <v>110</v>
      </c>
      <c r="F15" s="3" t="s">
        <v>11</v>
      </c>
    </row>
    <row r="16" spans="1:6" x14ac:dyDescent="0.3">
      <c r="A16" s="19" t="s">
        <v>172</v>
      </c>
      <c r="B16" s="19"/>
      <c r="C16" s="19"/>
      <c r="D16" s="19"/>
      <c r="E16" s="19"/>
      <c r="F16" s="19"/>
    </row>
    <row r="17" spans="1:6" ht="36.6" customHeight="1" x14ac:dyDescent="0.3">
      <c r="A17" s="4" t="s">
        <v>173</v>
      </c>
      <c r="B17" s="5" t="s">
        <v>174</v>
      </c>
      <c r="C17" s="14" t="s">
        <v>175</v>
      </c>
      <c r="D17" s="14"/>
      <c r="E17" s="7" t="s">
        <v>110</v>
      </c>
      <c r="F17" s="5" t="s">
        <v>16</v>
      </c>
    </row>
    <row r="18" spans="1:6" ht="30" customHeight="1" x14ac:dyDescent="0.3">
      <c r="A18" s="2" t="s">
        <v>176</v>
      </c>
      <c r="B18" s="3" t="s">
        <v>177</v>
      </c>
      <c r="C18" s="13" t="s">
        <v>178</v>
      </c>
      <c r="D18" s="13"/>
      <c r="E18" s="7" t="s">
        <v>110</v>
      </c>
      <c r="F18" s="3" t="s">
        <v>16</v>
      </c>
    </row>
    <row r="19" spans="1:6" ht="28.8" customHeight="1" x14ac:dyDescent="0.3">
      <c r="A19" s="4" t="s">
        <v>179</v>
      </c>
      <c r="B19" s="5" t="s">
        <v>180</v>
      </c>
      <c r="C19" s="14" t="s">
        <v>181</v>
      </c>
      <c r="D19" s="14"/>
      <c r="E19" s="7" t="s">
        <v>110</v>
      </c>
      <c r="F19" s="5" t="s">
        <v>182</v>
      </c>
    </row>
    <row r="20" spans="1:6" ht="32.4" customHeight="1" x14ac:dyDescent="0.3">
      <c r="A20" s="2" t="s">
        <v>183</v>
      </c>
      <c r="B20" s="3" t="s">
        <v>184</v>
      </c>
      <c r="C20" s="13" t="s">
        <v>185</v>
      </c>
      <c r="D20" s="13"/>
      <c r="E20" s="7" t="s">
        <v>110</v>
      </c>
      <c r="F20" s="3" t="s">
        <v>126</v>
      </c>
    </row>
    <row r="21" spans="1:6" x14ac:dyDescent="0.3">
      <c r="A21" s="18" t="s">
        <v>186</v>
      </c>
      <c r="B21" s="18"/>
      <c r="C21" s="18"/>
      <c r="D21" s="18"/>
      <c r="E21" s="18"/>
      <c r="F21" s="18"/>
    </row>
    <row r="22" spans="1:6" ht="33.6" customHeight="1" x14ac:dyDescent="0.3">
      <c r="A22" s="4" t="s">
        <v>187</v>
      </c>
      <c r="B22" s="5" t="s">
        <v>188</v>
      </c>
      <c r="C22" s="14" t="s">
        <v>189</v>
      </c>
      <c r="D22" s="14"/>
      <c r="E22" s="7" t="s">
        <v>110</v>
      </c>
      <c r="F22" s="5" t="s">
        <v>20</v>
      </c>
    </row>
    <row r="23" spans="1:6" ht="31.2" customHeight="1" x14ac:dyDescent="0.3">
      <c r="A23" s="2" t="s">
        <v>190</v>
      </c>
      <c r="B23" s="3" t="s">
        <v>191</v>
      </c>
      <c r="C23" s="13" t="s">
        <v>192</v>
      </c>
      <c r="D23" s="13"/>
      <c r="E23" s="7" t="s">
        <v>110</v>
      </c>
      <c r="F23" s="3" t="s">
        <v>20</v>
      </c>
    </row>
    <row r="24" spans="1:6" ht="28.8" x14ac:dyDescent="0.3">
      <c r="A24" s="4" t="s">
        <v>193</v>
      </c>
      <c r="B24" s="5" t="s">
        <v>194</v>
      </c>
      <c r="C24" s="14" t="s">
        <v>195</v>
      </c>
      <c r="D24" s="14"/>
      <c r="E24" s="7" t="s">
        <v>110</v>
      </c>
      <c r="F24" s="5" t="s">
        <v>196</v>
      </c>
    </row>
    <row r="26" spans="1:6" x14ac:dyDescent="0.3">
      <c r="A26" s="11" t="s">
        <v>197</v>
      </c>
      <c r="B26" s="11"/>
      <c r="C26" s="11"/>
      <c r="D26" s="11"/>
      <c r="E26" s="11"/>
    </row>
    <row r="27" spans="1:6" ht="24" customHeight="1" x14ac:dyDescent="0.3">
      <c r="A27" s="1" t="s">
        <v>139</v>
      </c>
      <c r="B27" s="1" t="s">
        <v>3</v>
      </c>
      <c r="C27" s="12" t="s">
        <v>140</v>
      </c>
      <c r="D27" s="12"/>
      <c r="E27" s="1" t="s">
        <v>6</v>
      </c>
    </row>
    <row r="28" spans="1:6" ht="20.399999999999999" customHeight="1" x14ac:dyDescent="0.3">
      <c r="A28" s="2" t="s">
        <v>34</v>
      </c>
      <c r="B28" s="3" t="s">
        <v>8</v>
      </c>
      <c r="C28" s="13" t="s">
        <v>198</v>
      </c>
      <c r="D28" s="13"/>
      <c r="E28" s="3" t="s">
        <v>10</v>
      </c>
    </row>
    <row r="29" spans="1:6" ht="28.8" x14ac:dyDescent="0.3">
      <c r="A29" s="4" t="s">
        <v>37</v>
      </c>
      <c r="B29" s="5" t="s">
        <v>199</v>
      </c>
      <c r="C29" s="14" t="s">
        <v>200</v>
      </c>
      <c r="D29" s="14"/>
      <c r="E29" s="5" t="s">
        <v>201</v>
      </c>
    </row>
    <row r="30" spans="1:6" ht="28.8" x14ac:dyDescent="0.3">
      <c r="A30" s="2" t="s">
        <v>40</v>
      </c>
      <c r="B30" s="3" t="s">
        <v>13</v>
      </c>
      <c r="C30" s="13" t="s">
        <v>202</v>
      </c>
      <c r="D30" s="13"/>
      <c r="E30" s="3" t="s">
        <v>201</v>
      </c>
    </row>
    <row r="31" spans="1:6" x14ac:dyDescent="0.3">
      <c r="A31" s="4" t="s">
        <v>43</v>
      </c>
      <c r="B31" s="5" t="s">
        <v>203</v>
      </c>
      <c r="C31" s="14" t="s">
        <v>204</v>
      </c>
      <c r="D31" s="14"/>
      <c r="E31" s="5" t="s">
        <v>10</v>
      </c>
    </row>
    <row r="32" spans="1:6" ht="16.8" customHeight="1" x14ac:dyDescent="0.3">
      <c r="A32" s="2" t="s">
        <v>46</v>
      </c>
      <c r="B32" s="3" t="s">
        <v>205</v>
      </c>
      <c r="C32" s="13" t="s">
        <v>206</v>
      </c>
      <c r="D32" s="13"/>
      <c r="E32" s="3" t="s">
        <v>10</v>
      </c>
    </row>
    <row r="33" spans="1:5" x14ac:dyDescent="0.3">
      <c r="A33" s="4" t="s">
        <v>49</v>
      </c>
      <c r="B33" s="5" t="s">
        <v>26</v>
      </c>
      <c r="C33" s="14" t="s">
        <v>207</v>
      </c>
      <c r="D33" s="14"/>
      <c r="E33" s="5" t="s">
        <v>10</v>
      </c>
    </row>
  </sheetData>
  <mergeCells count="30">
    <mergeCell ref="C13:D13"/>
    <mergeCell ref="A1:F1"/>
    <mergeCell ref="A2:F2"/>
    <mergeCell ref="A4:F4"/>
    <mergeCell ref="A5:F5"/>
    <mergeCell ref="A6:F6"/>
    <mergeCell ref="A7:F7"/>
    <mergeCell ref="A8:F8"/>
    <mergeCell ref="C10:D10"/>
    <mergeCell ref="A11:F11"/>
    <mergeCell ref="C12:D12"/>
    <mergeCell ref="C14:D14"/>
    <mergeCell ref="C15:D15"/>
    <mergeCell ref="A16:F16"/>
    <mergeCell ref="C17:D17"/>
    <mergeCell ref="C18:D18"/>
    <mergeCell ref="C19:D19"/>
    <mergeCell ref="C20:D20"/>
    <mergeCell ref="A21:F21"/>
    <mergeCell ref="C22:D22"/>
    <mergeCell ref="C23:D23"/>
    <mergeCell ref="C30:D30"/>
    <mergeCell ref="C31:D31"/>
    <mergeCell ref="C32:D32"/>
    <mergeCell ref="C33:D33"/>
    <mergeCell ref="C24:D24"/>
    <mergeCell ref="A26:E26"/>
    <mergeCell ref="C27:D27"/>
    <mergeCell ref="C28:D28"/>
    <mergeCell ref="C29:D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ChartData</vt:lpstr>
      <vt:lpstr>Tổng quan dự án</vt:lpstr>
      <vt:lpstr>IOC Sân vận động PVF</vt:lpstr>
      <vt:lpstr>IOC Smart City</vt:lpstr>
      <vt:lpstr>'IOC Sân vận động PVF'!Print_Area</vt:lpstr>
      <vt:lpstr>'IOC Smart City'!Print_Area</vt:lpstr>
      <vt:lpstr>'Tổng quan dự án'!Print_Area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2026-05-26T07:38:11Z</dcterms:created>
  <dcterms:modified xsi:type="dcterms:W3CDTF">2026-05-26T11:14:37Z</dcterms:modified>
  <cp:category/>
</cp:coreProperties>
</file>