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5"/>
  <workbookPr filterPrivacy="1"/>
  <xr:revisionPtr revIDLastSave="5" documentId="8_{A1FBF565-F8A7-4CF4-A355-A14465F4CA3D}" xr6:coauthVersionLast="47" xr6:coauthVersionMax="47" xr10:uidLastSave="{68DE3101-564B-49F4-A96A-781651069634}"/>
  <bookViews>
    <workbookView xWindow="-108" yWindow="-108" windowWidth="23256" windowHeight="12456" firstSheet="2" activeTab="2" xr2:uid="{00000000-000D-0000-FFFF-FFFF00000000}"/>
  </bookViews>
  <sheets>
    <sheet name="ChartData" sheetId="1" state="hidden" r:id="rId1"/>
    <sheet name="Tổng quan dự án" sheetId="2" r:id="rId2"/>
    <sheet name="IOC Sân vận động PVF" sheetId="3" r:id="rId3"/>
    <sheet name="IOC Smart City" sheetId="4" r:id="rId4"/>
  </sheets>
  <definedNames>
    <definedName name="_xlnm.Print_Area" localSheetId="2">'IOC Sân vận động PVF'!$A1:$F35</definedName>
    <definedName name="_xlnm.Print_Area" localSheetId="3">'IOC Smart City'!$A1:$F33</definedName>
    <definedName name="_xlnm.Print_Area" localSheetId="1">'Tổng quan dự án'!$A1:$E29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<sst xmlns="http://schemas.openxmlformats.org/spreadsheetml/2006/main" count="310" uniqueCount="227">
  <si>
    <t>Tuần</t>
  </si>
  <si>
    <t>PVF</t>
  </si>
  <si>
    <t>Smart City</t>
  </si>
  <si>
    <t>Tab</t>
  </si>
  <si>
    <t>Số tab</t>
  </si>
  <si>
    <t>Công việc</t>
  </si>
  <si>
    <t>Layout</t>
  </si>
  <si>
    <t>T1</t>
  </si>
  <si>
    <t>Tổng quan</t>
  </si>
  <si>
    <t>Tuần 1</t>
  </si>
  <si>
    <t>Ops classic</t>
  </si>
  <si>
    <t>Tuần 4</t>
  </si>
  <si>
    <t>T2</t>
  </si>
  <si>
    <t>An ninh</t>
  </si>
  <si>
    <t>Tuần 2</t>
  </si>
  <si>
    <t>Command 3D</t>
  </si>
  <si>
    <t>Tuần 5</t>
  </si>
  <si>
    <t>T3</t>
  </si>
  <si>
    <t>Sự kiện</t>
  </si>
  <si>
    <t>Tuần 3</t>
  </si>
  <si>
    <t>Tuần 6</t>
  </si>
  <si>
    <t>T4</t>
  </si>
  <si>
    <t>Cơ sở HT</t>
  </si>
  <si>
    <t>T5</t>
  </si>
  <si>
    <t>Dịch vụ</t>
  </si>
  <si>
    <t>T6</t>
  </si>
  <si>
    <t>Báo cáo</t>
  </si>
  <si>
    <t>BÁO CÁO KẾ HOẠCH 6 TUẦN — IOC PVF &amp; SMART CITY</t>
  </si>
  <si>
    <t>Vinsmartcity  |  25/05 – 05/07/2026  |  Nguyễn Triệu Gia Khánh  |  Trạng thái: Tuần 1 — PVF</t>
  </si>
  <si>
    <t>LỘ TRÌNH 6 TUẦN (PVF trước → Smart City sau)</t>
  </si>
  <si>
    <t>Giai đoạn</t>
  </si>
  <si>
    <t>Thời gian</t>
  </si>
  <si>
    <t>Trọng tâm</t>
  </si>
  <si>
    <t>Nghiệm thu</t>
  </si>
  <si>
    <t>1</t>
  </si>
  <si>
    <t>25/05 – 31/05</t>
  </si>
  <si>
    <t>Kickoff; BRD/SRS; prototype 6 tab; model 3D sân; VOC–FIFA</t>
  </si>
  <si>
    <t>2</t>
  </si>
  <si>
    <t>01/06 – 07/06</t>
  </si>
  <si>
    <t>Mô phỏng mái vòm; kiến trúc; kiểm thử VOC</t>
  </si>
  <si>
    <t>3</t>
  </si>
  <si>
    <t>08/06 – 14/06</t>
  </si>
  <si>
    <t>UAT PVF; bàn giao tài liệu PVF
→ Nghiệm thu PVF</t>
  </si>
  <si>
    <t>4</t>
  </si>
  <si>
    <t>15/06 – 21/06</t>
  </si>
  <si>
    <t>BRD/SRS SC; An ninh &amp; Giao thông 3D</t>
  </si>
  <si>
    <t>5</t>
  </si>
  <si>
    <t>22/06 – 28/06</t>
  </si>
  <si>
    <t>4 tab còn lại; kiến trúc dual IOC; link PVF</t>
  </si>
  <si>
    <t>6</t>
  </si>
  <si>
    <t>29/06 – 05/07</t>
  </si>
  <si>
    <t>UAT tổng; bàn giao full pack
→ Nghiệm thu tổng</t>
  </si>
  <si>
    <t>YÊU CẦU PHỐI HỢP BAN LÃNH ĐẠO</t>
  </si>
  <si>
    <t>Hạng mục</t>
  </si>
  <si>
    <t>Cần làm gì</t>
  </si>
  <si>
    <t>Thời điểm</t>
  </si>
  <si>
    <t>Xác nhận ưu tiên PVF &amp; VOC–FIFA</t>
  </si>
  <si>
    <t>Đồng ý phạm vi VOC trên 6 tab PVF</t>
  </si>
  <si>
    <t>Duyệt BRD/SRS</t>
  </si>
  <si>
    <t>Phê duyệt phạm vi trước nghiệm thu</t>
  </si>
  <si>
    <t>Tuần 2–3 / 5–6</t>
  </si>
  <si>
    <t>Đại diện nghiệm thu PVF</t>
  </si>
  <si>
    <t>1 người vận hành sân — UAT</t>
  </si>
  <si>
    <t>Đại diện nghiệm thu Smart City</t>
  </si>
  <si>
    <t>1–2 người ban quản lý đô thị</t>
  </si>
  <si>
    <t>Phản hồi định kỳ</t>
  </si>
  <si>
    <t>Xem demo cuối tuần</t>
  </si>
  <si>
    <t>Hàng tuần</t>
  </si>
  <si>
    <t>Môi trường demo</t>
  </si>
  <si>
    <t>Màn hình phòng điều hành / VOC</t>
  </si>
  <si>
    <t>Tuần 2 trở đi</t>
  </si>
  <si>
    <t>RỦI RO &amp; GIẢI PHÁP</t>
  </si>
  <si>
    <t>Rủi ro</t>
  </si>
  <si>
    <t>Cách xử lý</t>
  </si>
  <si>
    <t>PVF chưa nghiệm thu kịp tuần 3</t>
  </si>
  <si>
    <t>Smart City chỉ bắt đầu tuần 4 khi PVF đã ký duyệt</t>
  </si>
  <si>
    <t>VOC–FIFA chưa thống nhất sớm</t>
  </si>
  <si>
    <t>Rà soát BRD tuần 1; chốt phạm vi trước tuần 2</t>
  </si>
  <si>
    <t>Chưa có API hệ thống thật</t>
  </si>
  <si>
    <t>6 tuần: prototype + tài liệu; tích hợp VOC sau</t>
  </si>
  <si>
    <t>Thay đổi yêu cầu giữa chừng</t>
  </si>
  <si>
    <t>Cập nhật BRD/SRS; điều chỉnh lộ trình</t>
  </si>
  <si>
    <t>Tab 3D Smart City nặng máy cũ</t>
  </si>
  <si>
    <t>Tối ưu tuần 5–6</t>
  </si>
  <si>
    <t>KẾ HOẠCH TRIỂN KHAI — IOC SÂN VẬN ĐỘNG PVF (Giai đoạn 1: Tuần 1–3)</t>
  </si>
  <si>
    <t>Dự án Vinsmartcity  |  25/05 – 14/06/2026  |  Nguyễn Triệu Gia Khánh  |  Chuẩn VOC–FIFA</t>
  </si>
  <si>
    <t>TÓM TẮT CHUNG</t>
  </si>
  <si>
    <t>• Ưu tiên triển khai trước Smart City — phục vụ ban vận hành sân / an ninh sự kiện.</t>
  </si>
  <si>
    <t>• Phạm vi 6 tuần: prototype web 6 tab + BRD/SRS/Kiến trúc + mô phỏng mái vòm (chưa nối BMS/SCADA thật).</t>
  </si>
  <si>
    <t>• Tích hợp VOC theo khung vận hành venue FIFA; nghiệm thu cuối tuần 3.</t>
  </si>
  <si>
    <t>• Nguồn thông số sân: VnExpress (video nhúng trong bài) — 60.000 chỗ, mái vòm 12–20 phút, Hưng Yên.</t>
  </si>
  <si>
    <t>#</t>
  </si>
  <si>
    <t>Đầu mục công việc</t>
  </si>
  <si>
    <t>Mô tả / Kết quả đạt được</t>
  </si>
  <si>
    <t>Tiến độ</t>
  </si>
  <si>
    <t>Minh chứng</t>
  </si>
  <si>
    <t>TUẦN 1 (25/05 – 31/05) — Kickoff, BRD/SRS, prototype 6 tab, model 3D sân, căn VOC–FIFA</t>
  </si>
  <si>
    <t>1.1</t>
  </si>
  <si>
    <t>Kickoff PVF &amp; xác nhận phạm vi VOC–FIFA</t>
  </si>
  <si>
    <t>Họp mở đầu; chốt phạm vi 6 tab PVF với ban lãnh đạo
→ Kết quả: Biên bản kickoff + phạm vi VOC thống nhất</t>
  </si>
  <si>
    <t>Hoàn thành</t>
  </si>
  <si>
    <t>https://github.com/giakhanhhii/SVF_Stadium_Smartcity</t>
  </si>
  <si>
    <t>1.2</t>
  </si>
  <si>
    <t>Soạn BRD/SRS PVF</t>
  </si>
  <si>
    <t>Soạn BRD/SRS PVF bản 1 — Mô phòng sức chứa 60.000 chỗ bằng 3D mô phỏng 2.000–3.000 ghế đại diện, KPI tính theo % lấp đầy (vd. 80% → 48.000 khán giả); mô phỏng mái vòm PTFE (12–20 phút); căn VOC–FIFA trên 5 phân hệ.</t>
  </si>
  <si>
    <t>1.3</t>
  </si>
  <si>
    <t>Branding &amp; prototype 6 tab</t>
  </si>
  <si>
    <t>Thiết kế giao diện PVF và dựng trang web demo 6 tab (Tổng quan, An ninh, Sự kiện, Cơ sở hạ tầng, Dịch vụ, Báo cáo) tại stadium-ioc/ — dữ liệu mẫu, chưa nối hệ thống thật.
→ Kết quả: Prototype demo phòng điều hành sân (VOC) để trình lãnh đạo xem trước.</t>
  </si>
  <si>
    <t>1.4</t>
  </si>
  <si>
    <t>Xây dựng model 3D sân vận động PVF</t>
  </si>
  <si>
    <t>Three.js + GLB (pvf-stadium.glb): giả lập khán đài 60.000 chỗ, mái vòm, sân cỏ — phục vụ tab An ninh, Tổng quan, sự kiện, cơ sở hạ tầng và dịch vụ
→ Kết quả: Model 3D sân PVF tích hợp prototype</t>
  </si>
  <si>
    <t>1.5</t>
  </si>
  <si>
    <t>Căn thông số sân PVF</t>
  </si>
  <si>
    <t>Tham chiếu VnExpress (video): quy mô, mái vòm, cỏ hybrid
→ Kết quả: Bảng thông số đối chiếu nguồn</t>
  </si>
  <si>
    <t>Thiết lập 5 tab vận hành (An ninh · Sự kiện · Hạ tầng · Dịch vụ · Báo cáo)</t>
  </si>
  <si>
    <t xml:space="preserve">Mỗi tab vận hành theo từng phòng ban và chức năng của phòng đó: HUD + KPI + cảnh báo demo trên 3D PVF; ghi phạm vi từng phòng trong BRD/SRS. → Kết quả: 5 tab có dữ liệu mock, đọc được trên phòng điều hành.
</t>
  </si>
  <si>
    <t>Cải tiến dashboard — biểu đồ thay cho text</t>
  </si>
  <si>
    <t>Thay KPI/mô tả dạng chữ bằng biểu đồ (donut, bar, line, radar…) trên 6 tab, mỗi chức năng có chart mock data. Kết quả: HUD chart-first, đọc nhanh bằng biểu đồ</t>
  </si>
  <si>
    <t>Tinh chỉnh tính năng theo chỉ đạo cấp trên và theo logic VOC-FIFA / BRD</t>
  </si>
  <si>
    <t>Căn chỉnh widget/KPI theo BRD/VOC và chỉ đạo cấp trên. Tab Sự kiện tập trung kịch bản vận hành: dẫm đạp / chen lấn đám đông và nguy cơ cháy nổ (cảnh báo, mức độ, khu vực, luồng sơ tán mock). Các tab khác giữ vai trò riêng, bỏ KPI trùng. Kết quả: ma trận yêu cầu → tab → widget + prototype phù hợp nghiệp vụ.</t>
  </si>
  <si>
    <t>TUẦN 2 (01/06 – 07/06) — Mô phỏng mái vòm, kiến trúc, kiểm thử phòng điều hành</t>
  </si>
  <si>
    <t>2.1</t>
  </si>
  <si>
    <t>Mô phỏng đóng/mở mái vòm</t>
  </si>
  <si>
    <t>Tab Cơ sở hạ tầng: trạng thái, tiến trình 12–20 phút, phanh khẩn cấp
→ Kết quả: Luồng vận hành mái trên prototype</t>
  </si>
  <si>
    <t>Chưa làm</t>
  </si>
  <si>
    <t>Demo</t>
  </si>
  <si>
    <t>2.2</t>
  </si>
  <si>
    <t>Tài liệu kiến trúc PVF</t>
  </si>
  <si>
    <t>Xây dựng kiến trúc hệ thống PVF: IOC sân liên kết Smart City; thiết lập cấu trúc module và điểm tích hợp VOC (camera, BMS mái/HVAC, vé điện tử) — prototype dùng dữ liệu mẫu, có thể nối hệ thống thật sau.
→ Kết quả: Kiến trúc bản 1.</t>
  </si>
  <si>
    <t>2.3</t>
  </si>
  <si>
    <t>Kiểm thử phòng điều hành / VOC</t>
  </si>
  <si>
    <t>Demo trên màn hình phòng điều hành; thu feedback
→ Kết quả: Biên bản kiểm thử nội bộ</t>
  </si>
  <si>
    <t>Cần môi trường demo</t>
  </si>
  <si>
    <t>2.4</t>
  </si>
  <si>
    <t>Duyệt BRD/SRS (lãnh đạo)</t>
  </si>
  <si>
    <t>Phê duyệt phạm vi trước nghiệm thu tuần 3
→ Kết quả: BRD/SRS đã ký duyệt</t>
  </si>
  <si>
    <t>Theo yêu cầu của lãnh đạo</t>
  </si>
  <si>
    <t>TUẦN 3 (08/06 – 14/06) — UAT &amp; nghiệm thu PVF</t>
  </si>
  <si>
    <t>3.1</t>
  </si>
  <si>
    <t>UAT PVF</t>
  </si>
  <si>
    <t>1 đại diện ban vận hành sân — kiểm thử 6 tab + mô phỏng mái
→ Kết quả: Biên bản UAT PVF</t>
  </si>
  <si>
    <t xml:space="preserve"> Báo cáo tổng hợp KPI 4 phân hệ + UAT PVF</t>
  </si>
  <si>
    <t>Tab Báo cáo gom KPI An ninh/Sự kiện/Hạ tầng/Dịch vụ; đồng bộ số liệu 1 kịch bản; checklist UAT 5 phòng → ký nghiệm thu PVF. → Kết quả: Gói PVF hoàn thành (prototype + tài liệu).</t>
  </si>
  <si>
    <t>3.2</t>
  </si>
  <si>
    <t>Cập nhật tài liệu sau UAT</t>
  </si>
  <si>
    <t>BRD, SRS, Kiến trúc PVF (60k chỗ, mái vòm, VOC)
→ Kết quả: Bộ tài liệu PVF hoàn chỉnh</t>
  </si>
  <si>
    <t>3.3</t>
  </si>
  <si>
    <t>Nghiệm thu &amp; bàn giao gói PVF</t>
  </si>
  <si>
    <t>Ký checklist; bàn giao prototype + tài liệu
→ Kết quả: PVF nghiệm thu — mở SC tuần 4</t>
  </si>
  <si>
    <t>Mốc quan trọng</t>
  </si>
  <si>
    <t xml:space="preserve"> Hoàn thiện luồng vận hành 5 phòng + mô phỏng mái vòm</t>
  </si>
  <si>
    <t>Hạ tầng: đóng/mở mái 12–20 phút; An ninh/Sự kiện/Dịch vụ: 1 kịch bản chéo (mật độ B → timeline → bãi/F&amp;B); kiểm thử nội bộ 5 tab. → Kết quả: Demo closed-loop 1 trận; kiến trúc VOC bản 1.</t>
  </si>
  <si>
    <t>PHẠM VI 6 TAB PVF (ánh xạ VOC–FIFA)</t>
  </si>
  <si>
    <t>STT</t>
  </si>
  <si>
    <t>Nội dung chính</t>
  </si>
  <si>
    <t>Nhóm VOC</t>
  </si>
  <si>
    <t>Trạng thái sân, 60.000 chỗ, sự kiện, icon mái vòm</t>
  </si>
  <si>
    <t>Dashboard VOC tổng</t>
  </si>
  <si>
    <t>Camera + sơ đồ sân, mật độ khán giả</t>
  </si>
  <si>
    <t>Safety &amp; security</t>
  </si>
  <si>
    <t>Timeline trận đấu / sự kiện</t>
  </si>
  <si>
    <t>Event operations</t>
  </si>
  <si>
    <t>Cơ sở hạ tầng</t>
  </si>
  <si>
    <t>Điện, HVAC, mô phỏng mái vòm</t>
  </si>
  <si>
    <t>Technical operations</t>
  </si>
  <si>
    <t>F&amp;B, bãi xe, VIP</t>
  </si>
  <si>
    <t>Spectator services</t>
  </si>
  <si>
    <t>KPI vận hành theo trận</t>
  </si>
  <si>
    <t>Reporting</t>
  </si>
  <si>
    <t>KẾ HOẠCH TRIỂN KHAI — IOC SMART CITY (Giai đoạn 2: Tuần 4–6)</t>
  </si>
  <si>
    <t>Dự án Vinsmartcity  |  15/06 – 05/07/2026  |  Nguyễn Triệu Gia Khánh  |  Bắt đầu sau nghiệm thu PVF</t>
  </si>
  <si>
    <t>• Triển khai sau khi PVF nghiệm thu tuần 3 — phục vụ ban quản lý đô thị / khu thông minh.</t>
  </si>
  <si>
    <t>• Phạm vi: prototype 6 tab (2 tab Command Center 3D: Giao thông &amp; An ninh).</t>
  </si>
  <si>
    <t>• Liên kết chéo Smart City ↔ PVF trên header (1 click).</t>
  </si>
  <si>
    <t>• Nghiệm thu tổng thể &amp; bàn giao full pack cuối tuần 6.</t>
  </si>
  <si>
    <t>Ghi chú</t>
  </si>
  <si>
    <t>TUẦN 4 (15/06 – 21/06) — BRD/SRS Smart City &amp; 2 tab cốt lõi 3D</t>
  </si>
  <si>
    <t>4.1</t>
  </si>
  <si>
    <t>Soạn BRD/SRS Smart City</t>
  </si>
  <si>
    <t>Phạm vi 6 tab, người dùng mục tiêu ban quản lý đô thị
→ Kết quả: BRD/SRS SC bản 1</t>
  </si>
  <si>
    <t>4,2</t>
  </si>
  <si>
    <t>Xây dựng model 3D cho 4 tab vận hành Smart City (Giao thông · An ninh · Môi trường · Tiện ích)</t>
  </si>
  <si>
    <t>Xây dựng scene Three.js cho Giao thông, An ninh, Môi trường, Tiện ích — mỗi tab có model 3D + HUD hai bên → Kết quả: 4 tab Smart City có mô hình 3D tương tác hoàn chỉnh</t>
  </si>
  <si>
    <t>4.2</t>
  </si>
  <si>
    <t>Prototype An ninh &amp; Giao thông 3D</t>
  </si>
  <si>
    <t>Command Center: scene Three.js + HUD hai bên
→ Kết quả: 2 tab cốt lõi hoàn chỉnh</t>
  </si>
  <si>
    <t>smartcity-ioc/</t>
  </si>
  <si>
    <t>4.3</t>
  </si>
  <si>
    <t>Tham chiếu mockup nguồn</t>
  </si>
  <si>
    <t>ioc_smartcity_homepage_mockup.html, ioc_realtime_dashboard.html
→ Kết quả: UI đồng bộ mockup</t>
  </si>
  <si>
    <t>TUẦN 5 (22/06 – 28/06) — 4 tab còn lại, kiến trúc dual IOC, liên kết PVF</t>
  </si>
  <si>
    <t>5.1</t>
  </si>
  <si>
    <t>Hoàn thiện 4 tab còn lại</t>
  </si>
  <si>
    <t>Tổng quan, Môi trường, Tiện ích, Báo cáo
→ Kết quả: 6 tab Smart City đầy đủ</t>
  </si>
  <si>
    <t>5.2</t>
  </si>
  <si>
    <t>Tài liệu kiến trúc dual IOC</t>
  </si>
  <si>
    <t>Cấu trúc shared-ioc, cross-link, tích hợp tương lai
→ Kết quả: Kiến trúc tổng bản 1</t>
  </si>
  <si>
    <t>5.3</t>
  </si>
  <si>
    <t>Liên kết Smart City ↔ PVF</t>
  </si>
  <si>
    <t>Center-switch trên header; deep link từ overview
→ Kết quả: Chuyển IOC 1 click</t>
  </si>
  <si>
    <t>Tuần 5–6</t>
  </si>
  <si>
    <t>5.4</t>
  </si>
  <si>
    <t>Duyệt BRD/SRS Smart City</t>
  </si>
  <si>
    <t>Phê duyệt phạm vi trước UAT tuần 6
→ Kết quả: BRD/SRS SC đã duyệt</t>
  </si>
  <si>
    <t>Yêu cầu lãnh đạo</t>
  </si>
  <si>
    <t>TUẦN 6 (29/06 – 05/07) — UAT tổng &amp; bàn giao full pack</t>
  </si>
  <si>
    <t>6.1</t>
  </si>
  <si>
    <t>UAT Smart City</t>
  </si>
  <si>
    <t>1–2 đại diện ban quản lý đô thị — kiểm thử 6 tab
→ Kết quả: Biên bản UAT SC</t>
  </si>
  <si>
    <t>6.2</t>
  </si>
  <si>
    <t>Hoàn thiện toàn bộ tài liệu</t>
  </si>
  <si>
    <t>BRD, SRS, Kiến trúc SC + nghiên cứu UI
→ Kết quả: Full bộ tài liệu sản phẩm</t>
  </si>
  <si>
    <t>6.3</t>
  </si>
  <si>
    <t>Demo / training &amp; nghiệm thu tổng</t>
  </si>
  <si>
    <t>Buổi tổng kết; bàn giao prototype + tài liệu
→ Kết quả: Dự án hoàn thành</t>
  </si>
  <si>
    <t>Mốc cuối</t>
  </si>
  <si>
    <t>PHẠM VI 6 TAB SMART CITY</t>
  </si>
  <si>
    <t>Chỉ số tổng thể, cổng phân hệ (link PVF)</t>
  </si>
  <si>
    <t>Giao thông</t>
  </si>
  <si>
    <t>Ngã tư 3D + bảng điều khiển</t>
  </si>
  <si>
    <t>Command Center 3D</t>
  </si>
  <si>
    <t>Khu đô thị 3D + camera, cảnh báo</t>
  </si>
  <si>
    <t>Môi trường</t>
  </si>
  <si>
    <t>AQI, trạm đo, biểu đồ</t>
  </si>
  <si>
    <t>Tiện ích</t>
  </si>
  <si>
    <t>Điện, nước, chiếu sáng</t>
  </si>
  <si>
    <t>Bảng số liệu, biểu đồ tổng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</si>
</sst>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000000"/>
      <name val="Calibri"/>
    </font>
    <font>
      <sz val="10"/>
      <color rgb="FF505050"/>
      <name val="Calibri"/>
    </font>
    <font>
      <b/>
      <sz val="11"/>
      <color rgb="FF000000"/>
      <name val="Calibri"/>
    </font>
    <font>
      <b/>
      <sz val="11"/>
      <color rgb="FFFFFFFF"/>
      <name val="Calibri"/>
    </font>
    <font>
      <b/>
      <sz val="11"/>
      <color rgb="FF9C0006"/>
      <name val="Calibri"/>
    </font>
    <font>
      <b/>
      <sz val="11"/>
      <color theme="3"/>
      <name val="Calibri"/>
      <family val="2"/>
    </font>
    <font>
      <u/>
      <sz val="11"/>
      <color theme="10"/>
      <name val="Calibri"/>
      <family val="2"/>
      <scheme val="minor"/>
    </font>
  </fonts>
  <fills count="12">
    <fill>
      <patternFill patternType="none"/>
    </fill>
    <fill>
      <patternFill patternType="gray125"/>
    </fill>
    <fill>
      <patternFill patternType="solid">
        <fgColor rgb="FFE26B0A"/>
      </patternFill>
    </fill>
    <fill>
      <patternFill patternType="solid">
        <fgColor rgb="FFFFFFFF"/>
      </patternFill>
    </fill>
    <fill>
      <patternFill patternType="solid">
        <fgColor rgb="FFF2F2F2"/>
      </patternFill>
    </fill>
    <fill>
      <patternFill patternType="solid">
        <fgColor rgb="FFFFC7CE"/>
      </patternFill>
    </fill>
    <fill>
      <patternFill patternType="solid">
        <fgColor rgb="FF548235"/>
      </patternFill>
    </fill>
    <fill>
      <patternFill patternType="solid">
        <fgColor rgb="FFBF8F00"/>
      </patternFill>
    </fill>
    <fill>
      <patternFill patternType="solid">
        <fgColor rgb="FFC55A11"/>
      </patternFill>
    </fill>
    <fill>
      <patternFill patternType="solid">
        <fgColor rgb="FF7030A0"/>
      </patternFill>
    </fill>
    <fill>
      <patternFill patternType="solid">
        <fgColor rgb="FF404040"/>
      </patternFill>
    </fill>
    <fill>
      <patternFill patternType="solid">
        <fgColor rgb="FF99FF9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60">
    <xf numFmtId="0" fontId="0" fillId="0" borderId="0" xfId="0"/>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5" fillId="5" borderId="1" xfId="0" applyFont="1" applyFill="1" applyBorder="1" applyAlignment="1">
      <alignment horizontal="center" vertical="top" wrapText="1"/>
    </xf>
    <xf numFmtId="0" fontId="3" fillId="2" borderId="1" xfId="0" applyFont="1" applyFill="1" applyBorder="1" applyAlignment="1">
      <alignment horizontal="left" vertical="center" wrapText="1"/>
    </xf>
    <xf numFmtId="0" fontId="0" fillId="0" borderId="0" xfId="0" applyAlignment="1">
      <alignment horizontal="left"/>
    </xf>
    <xf numFmtId="0" fontId="0" fillId="3" borderId="3" xfId="0" applyFill="1" applyBorder="1" applyAlignment="1">
      <alignment horizontal="center" vertical="top" wrapText="1"/>
    </xf>
    <xf numFmtId="0" fontId="5" fillId="5" borderId="3" xfId="0" applyFont="1" applyFill="1" applyBorder="1" applyAlignment="1">
      <alignment horizontal="center" vertical="top" wrapText="1"/>
    </xf>
    <xf numFmtId="0" fontId="0" fillId="3" borderId="2" xfId="0" applyFill="1" applyBorder="1" applyAlignment="1">
      <alignment horizontal="left" vertical="top" wrapText="1"/>
    </xf>
    <xf numFmtId="0" fontId="0" fillId="3" borderId="2" xfId="0" applyFill="1" applyBorder="1" applyAlignment="1">
      <alignment horizontal="center" vertical="top" wrapText="1"/>
    </xf>
    <xf numFmtId="0" fontId="0" fillId="4" borderId="3" xfId="0" applyFill="1" applyBorder="1" applyAlignment="1">
      <alignment horizontal="center" vertical="top" wrapText="1"/>
    </xf>
    <xf numFmtId="0" fontId="0" fillId="4" borderId="2" xfId="0" applyFill="1" applyBorder="1" applyAlignment="1">
      <alignment horizontal="center" vertical="top" wrapText="1"/>
    </xf>
    <xf numFmtId="0" fontId="0" fillId="4" borderId="2" xfId="0" applyFill="1"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4" borderId="3" xfId="0" applyFill="1" applyBorder="1" applyAlignment="1">
      <alignment horizontal="left" vertical="top" wrapText="1"/>
    </xf>
    <xf numFmtId="0" fontId="0" fillId="3" borderId="12" xfId="0" applyFill="1" applyBorder="1" applyAlignment="1">
      <alignment horizontal="left" vertical="top" wrapText="1"/>
    </xf>
    <xf numFmtId="0" fontId="0" fillId="3" borderId="12" xfId="0" applyFill="1" applyBorder="1" applyAlignment="1">
      <alignment horizontal="center" vertical="top" wrapText="1"/>
    </xf>
    <xf numFmtId="0" fontId="3" fillId="2" borderId="7" xfId="0" applyFont="1" applyFill="1" applyBorder="1" applyAlignment="1">
      <alignment vertical="center"/>
    </xf>
    <xf numFmtId="0" fontId="3" fillId="2" borderId="8" xfId="0" applyFont="1" applyFill="1" applyBorder="1" applyAlignment="1">
      <alignment vertical="center"/>
    </xf>
    <xf numFmtId="0" fontId="3" fillId="2" borderId="9" xfId="0" applyFont="1" applyFill="1" applyBorder="1" applyAlignment="1">
      <alignment vertical="center"/>
    </xf>
    <xf numFmtId="0" fontId="3" fillId="2" borderId="1" xfId="0" applyFont="1" applyFill="1" applyBorder="1" applyAlignment="1">
      <alignment horizontal="center" vertical="center" wrapText="1"/>
    </xf>
    <xf numFmtId="0" fontId="0" fillId="4" borderId="1" xfId="0" applyFill="1" applyBorder="1" applyAlignment="1">
      <alignment horizontal="left" vertical="top" wrapText="1"/>
    </xf>
    <xf numFmtId="0" fontId="0" fillId="3" borderId="1" xfId="0" applyFill="1" applyBorder="1" applyAlignment="1">
      <alignment horizontal="left" vertical="top" wrapText="1"/>
    </xf>
    <xf numFmtId="0" fontId="0" fillId="3" borderId="3" xfId="0" applyFill="1" applyBorder="1" applyAlignment="1">
      <alignment horizontal="left" vertical="top" wrapText="1"/>
    </xf>
    <xf numFmtId="0" fontId="0" fillId="3" borderId="10" xfId="0" applyFill="1" applyBorder="1" applyAlignment="1">
      <alignment horizontal="center" vertical="top" wrapText="1"/>
    </xf>
    <xf numFmtId="0" fontId="0" fillId="3" borderId="11" xfId="0" applyFill="1" applyBorder="1" applyAlignment="1">
      <alignment horizontal="center" vertical="top" wrapText="1"/>
    </xf>
    <xf numFmtId="0" fontId="0" fillId="0" borderId="2" xfId="0" applyBorder="1" applyAlignment="1">
      <alignment wrapText="1"/>
    </xf>
    <xf numFmtId="0" fontId="4" fillId="2" borderId="1" xfId="0" applyFont="1" applyFill="1" applyBorder="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wrapText="1"/>
    </xf>
    <xf numFmtId="0" fontId="3" fillId="2" borderId="3" xfId="0" applyFont="1" applyFill="1" applyBorder="1" applyAlignment="1">
      <alignment horizontal="center" vertical="center"/>
    </xf>
    <xf numFmtId="0" fontId="4" fillId="7" borderId="4" xfId="0" applyFont="1" applyFill="1" applyBorder="1" applyAlignment="1">
      <alignment vertical="center" wrapText="1"/>
    </xf>
    <xf numFmtId="0" fontId="4" fillId="7" borderId="6" xfId="0" applyFont="1" applyFill="1" applyBorder="1" applyAlignment="1">
      <alignment vertical="center" wrapText="1"/>
    </xf>
    <xf numFmtId="0" fontId="4" fillId="7" borderId="5" xfId="0" applyFont="1" applyFill="1" applyBorder="1" applyAlignment="1">
      <alignment vertical="center" wrapText="1"/>
    </xf>
    <xf numFmtId="0" fontId="4" fillId="6" borderId="7" xfId="0" applyFont="1" applyFill="1" applyBorder="1" applyAlignment="1">
      <alignment vertical="center" wrapText="1"/>
    </xf>
    <xf numFmtId="0" fontId="4" fillId="6" borderId="8" xfId="0" applyFont="1" applyFill="1" applyBorder="1" applyAlignment="1">
      <alignment vertical="center" wrapText="1"/>
    </xf>
    <xf numFmtId="0" fontId="4" fillId="6" borderId="9" xfId="0" applyFont="1" applyFill="1" applyBorder="1" applyAlignment="1">
      <alignment vertical="center" wrapText="1"/>
    </xf>
    <xf numFmtId="0" fontId="0" fillId="3" borderId="12" xfId="0" applyFill="1" applyBorder="1" applyAlignment="1">
      <alignment horizontal="center" vertical="top" wrapText="1"/>
    </xf>
    <xf numFmtId="0" fontId="0" fillId="4" borderId="10" xfId="0" applyFill="1" applyBorder="1" applyAlignment="1">
      <alignment horizontal="center" vertical="top" wrapText="1"/>
    </xf>
    <xf numFmtId="0" fontId="0" fillId="4" borderId="11" xfId="0" applyFill="1" applyBorder="1" applyAlignment="1">
      <alignment horizontal="center" vertical="top" wrapText="1"/>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3" xfId="0" applyFill="1" applyBorder="1" applyAlignment="1">
      <alignment horizontal="left" vertical="top" wrapText="1"/>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3" fillId="2" borderId="3" xfId="0" applyFont="1" applyFill="1" applyBorder="1" applyAlignment="1">
      <alignment vertical="center"/>
    </xf>
    <xf numFmtId="0" fontId="4" fillId="8" borderId="1" xfId="0" applyFont="1" applyFill="1" applyBorder="1" applyAlignment="1">
      <alignment vertical="center" wrapText="1"/>
    </xf>
    <xf numFmtId="0" fontId="6" fillId="11" borderId="4" xfId="0" applyFont="1" applyFill="1" applyBorder="1" applyAlignment="1">
      <alignment horizontal="center" vertical="top" wrapText="1"/>
    </xf>
    <xf numFmtId="0" fontId="6" fillId="11" borderId="13" xfId="0" applyFont="1" applyFill="1" applyBorder="1" applyAlignment="1">
      <alignment horizontal="center" vertical="top" wrapText="1"/>
    </xf>
    <xf numFmtId="0" fontId="6" fillId="11" borderId="10" xfId="0" applyFont="1" applyFill="1" applyBorder="1" applyAlignment="1">
      <alignment horizontal="center" vertical="top" wrapText="1"/>
    </xf>
    <xf numFmtId="0" fontId="4" fillId="2" borderId="3" xfId="0" applyFont="1" applyFill="1" applyBorder="1" applyAlignment="1">
      <alignment vertical="center" wrapText="1"/>
    </xf>
    <xf numFmtId="0" fontId="7" fillId="3" borderId="1" xfId="1" applyFill="1" applyBorder="1" applyAlignment="1">
      <alignment horizontal="center" vertical="top" wrapText="1"/>
    </xf>
  </cellXfs>
  <cellStyles count="2">
    <cellStyle name="Bình thường" xfId="0" builtinId="0"/>
    <cellStyle name="Hyperlink" xfId="1" xr:uid="{00000000-000B-0000-0000-000008000000}"/>
  </cellStyles>
  <dxfs count="0"/>
  <tableStyles count="0" defaultTableStyle="TableStyleMedium2" defaultPivotStyle="PivotStyleLight16"/>
  <colors>
    <mruColors>
      <color rgb="FF99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Lộ trình 6 tuần: PVF (T1–3) → Smart City (T4–6)</a:t>
            </a:r>
          </a:p>
        </c:rich>
      </c:tx>
      <c:overlay val="0"/>
    </c:title>
    <c:autoTitleDeleted val="0"/>
    <c:plotArea>
      <c:layout/>
      <c:barChart>
        <c:barDir val="col"/>
        <c:grouping val="stacked"/>
        <c:varyColors val="0"/>
        <c:ser>
          <c:idx val="0"/>
          <c:order val="0"/>
          <c:tx>
            <c:strRef>
              <c:f>ChartData!$B$1</c:f>
              <c:strCache>
                <c:ptCount val="1"/>
                <c:pt idx="0">
                  <c:v>PVF</c:v>
                </c:pt>
              </c:strCache>
            </c:strRef>
          </c:tx>
          <c:spPr>
            <a:solidFill>
              <a:srgbClr val="548235"/>
            </a:solidFill>
          </c:spPr>
          <c:invertIfNegative val="0"/>
          <c:cat>
            <c:strRef>
              <c:f>ChartData!$A$2:$A$7</c:f>
              <c:strCache>
                <c:ptCount val="6"/>
                <c:pt idx="0">
                  <c:v>T1</c:v>
                </c:pt>
                <c:pt idx="1">
                  <c:v>T2</c:v>
                </c:pt>
                <c:pt idx="2">
                  <c:v>T3</c:v>
                </c:pt>
                <c:pt idx="3">
                  <c:v>T4</c:v>
                </c:pt>
                <c:pt idx="4">
                  <c:v>T5</c:v>
                </c:pt>
                <c:pt idx="5">
                  <c:v>T6</c:v>
                </c:pt>
              </c:strCache>
            </c:strRef>
          </c:cat>
          <c:val>
            <c:numRef>
              <c:f>ChartData!$B$2:$B$7</c:f>
              <c:numCache>
                <c:formatCode>General</c:formatCode>
                <c:ptCount val="6"/>
                <c:pt idx="0">
                  <c:v>1</c:v>
                </c:pt>
                <c:pt idx="1">
                  <c:v>1</c:v>
                </c:pt>
                <c:pt idx="2">
                  <c:v>1</c:v>
                </c:pt>
                <c:pt idx="3">
                  <c:v>0</c:v>
                </c:pt>
                <c:pt idx="4">
                  <c:v>0</c:v>
                </c:pt>
                <c:pt idx="5">
                  <c:v>0</c:v>
                </c:pt>
              </c:numCache>
            </c:numRef>
          </c:val>
          <c:extLst>
            <c:ext xmlns:c16="http://schemas.microsoft.com/office/drawing/2014/chart" uri="{C3380CC4-5D6E-409C-BE32-E72D297353CC}">
              <c16:uniqueId val="{00000002-4EA5-4645-A411-4566931F092C}"/>
            </c:ext>
          </c:extLst>
        </c:ser>
        <c:ser>
          <c:idx val="1"/>
          <c:order val="1"/>
          <c:tx>
            <c:strRef>
              <c:f>ChartData!$C$1</c:f>
              <c:strCache>
                <c:ptCount val="1"/>
                <c:pt idx="0">
                  <c:v>Smart City</c:v>
                </c:pt>
              </c:strCache>
            </c:strRef>
          </c:tx>
          <c:spPr>
            <a:solidFill>
              <a:srgbClr val="E26B0A"/>
            </a:solidFill>
          </c:spPr>
          <c:invertIfNegative val="0"/>
          <c:cat>
            <c:strRef>
              <c:f>ChartData!$A$2:$A$7</c:f>
              <c:strCache>
                <c:ptCount val="6"/>
                <c:pt idx="0">
                  <c:v>T1</c:v>
                </c:pt>
                <c:pt idx="1">
                  <c:v>T2</c:v>
                </c:pt>
                <c:pt idx="2">
                  <c:v>T3</c:v>
                </c:pt>
                <c:pt idx="3">
                  <c:v>T4</c:v>
                </c:pt>
                <c:pt idx="4">
                  <c:v>T5</c:v>
                </c:pt>
                <c:pt idx="5">
                  <c:v>T6</c:v>
                </c:pt>
              </c:strCache>
            </c:strRef>
          </c:cat>
          <c:val>
            <c:numRef>
              <c:f>ChartData!$C$2:$C$7</c:f>
              <c:numCache>
                <c:formatCode>General</c:formatCode>
                <c:ptCount val="6"/>
                <c:pt idx="0">
                  <c:v>0</c:v>
                </c:pt>
                <c:pt idx="1">
                  <c:v>0</c:v>
                </c:pt>
                <c:pt idx="2">
                  <c:v>0</c:v>
                </c:pt>
                <c:pt idx="3">
                  <c:v>1</c:v>
                </c:pt>
                <c:pt idx="4">
                  <c:v>1</c:v>
                </c:pt>
                <c:pt idx="5">
                  <c:v>1</c:v>
                </c:pt>
              </c:numCache>
            </c:numRef>
          </c:val>
          <c:extLst>
            <c:ext xmlns:c16="http://schemas.microsoft.com/office/drawing/2014/chart" uri="{C3380CC4-5D6E-409C-BE32-E72D297353CC}">
              <c16:uniqueId val="{00000003-4EA5-4645-A411-4566931F092C}"/>
            </c:ext>
          </c:extLst>
        </c:ser>
        <c:dLbls>
          <c:showLegendKey val="0"/>
          <c:showVal val="0"/>
          <c:showCatName val="0"/>
          <c:showSerName val="0"/>
          <c:showPercent val="0"/>
          <c:showBubbleSize val="0"/>
        </c:dLbls>
        <c:gapWidth val="150"/>
        <c:overlap val="100"/>
        <c:axId val="1674853343"/>
        <c:axId val="1674853759"/>
      </c:barChart>
      <c:catAx>
        <c:axId val="1674853343"/>
        <c:scaling>
          <c:orientation val="minMax"/>
        </c:scaling>
        <c:delete val="0"/>
        <c:axPos val="b"/>
        <c:numFmt formatCode="General" sourceLinked="1"/>
        <c:majorTickMark val="out"/>
        <c:minorTickMark val="none"/>
        <c:tickLblPos val="nextTo"/>
        <c:crossAx val="1674853759"/>
        <c:crosses val="autoZero"/>
        <c:auto val="1"/>
        <c:lblAlgn val="ctr"/>
        <c:lblOffset val="100"/>
        <c:noMultiLvlLbl val="0"/>
      </c:catAx>
      <c:valAx>
        <c:axId val="1674853759"/>
        <c:scaling>
          <c:orientation val="minMax"/>
        </c:scaling>
        <c:delete val="0"/>
        <c:axPos val="l"/>
        <c:majorGridlines/>
        <c:numFmt formatCode="General" sourceLinked="1"/>
        <c:majorTickMark val="out"/>
        <c:minorTickMark val="none"/>
        <c:tickLblPos val="nextTo"/>
        <c:crossAx val="1674853343"/>
        <c:crosses val="autoZero"/>
        <c:crossBetween val="between"/>
      </c:valAx>
      <c:spPr>
        <a:solidFill>
          <a:srgbClr val="FFFFFF"/>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Phạm vi 6 tab PVF (VOC–FIFA)</a:t>
            </a:r>
          </a:p>
        </c:rich>
      </c:tx>
      <c:overlay val="0"/>
    </c:title>
    <c:autoTitleDeleted val="0"/>
    <c:plotArea>
      <c:layout/>
      <c:barChart>
        <c:barDir val="col"/>
        <c:grouping val="clustered"/>
        <c:varyColors val="0"/>
        <c:ser>
          <c:idx val="0"/>
          <c:order val="0"/>
          <c:tx>
            <c:strRef>
              <c:f>ChartData!$F$1</c:f>
              <c:strCache>
                <c:ptCount val="1"/>
                <c:pt idx="0">
                  <c:v>Số tab</c:v>
                </c:pt>
              </c:strCache>
            </c:strRef>
          </c:tx>
          <c:spPr>
            <a:solidFill>
              <a:srgbClr val="548235"/>
            </a:solidFill>
          </c:spPr>
          <c:invertIfNegative val="0"/>
          <c:cat>
            <c:strRef>
              <c:f>ChartData!$E$2:$E$7</c:f>
              <c:strCache>
                <c:ptCount val="6"/>
                <c:pt idx="0">
                  <c:v>Tổng quan</c:v>
                </c:pt>
                <c:pt idx="1">
                  <c:v>An ninh</c:v>
                </c:pt>
                <c:pt idx="2">
                  <c:v>Sự kiện</c:v>
                </c:pt>
                <c:pt idx="3">
                  <c:v>Cơ sở HT</c:v>
                </c:pt>
                <c:pt idx="4">
                  <c:v>Dịch vụ</c:v>
                </c:pt>
                <c:pt idx="5">
                  <c:v>Báo cáo</c:v>
                </c:pt>
              </c:strCache>
            </c:strRef>
          </c:cat>
          <c:val>
            <c:numRef>
              <c:f>ChartData!$F$2:$F$7</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2-A090-488F-8D5E-AD1566727325}"/>
            </c:ext>
          </c:extLst>
        </c:ser>
        <c:dLbls>
          <c:showLegendKey val="0"/>
          <c:showVal val="0"/>
          <c:showCatName val="0"/>
          <c:showSerName val="0"/>
          <c:showPercent val="0"/>
          <c:showBubbleSize val="0"/>
        </c:dLbls>
        <c:gapWidth val="150"/>
        <c:axId val="1673153455"/>
        <c:axId val="1673158863"/>
      </c:barChart>
      <c:catAx>
        <c:axId val="1673153455"/>
        <c:scaling>
          <c:orientation val="minMax"/>
        </c:scaling>
        <c:delete val="0"/>
        <c:axPos val="b"/>
        <c:numFmt formatCode="General" sourceLinked="1"/>
        <c:majorTickMark val="out"/>
        <c:minorTickMark val="none"/>
        <c:tickLblPos val="nextTo"/>
        <c:crossAx val="1673158863"/>
        <c:crosses val="autoZero"/>
        <c:auto val="1"/>
        <c:lblAlgn val="ctr"/>
        <c:lblOffset val="100"/>
        <c:noMultiLvlLbl val="0"/>
      </c:catAx>
      <c:valAx>
        <c:axId val="1673158863"/>
        <c:scaling>
          <c:orientation val="minMax"/>
        </c:scaling>
        <c:delete val="0"/>
        <c:axPos val="l"/>
        <c:majorGridlines/>
        <c:numFmt formatCode="General" sourceLinked="1"/>
        <c:majorTickMark val="out"/>
        <c:minorTickMark val="none"/>
        <c:tickLblPos val="nextTo"/>
        <c:crossAx val="1673153455"/>
        <c:crosses val="autoZero"/>
        <c:crossBetween val="between"/>
      </c:valAx>
      <c:spPr>
        <a:solidFill>
          <a:srgbClr val="FFFFFF"/>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vi-VN"/>
              <a:t>Khối lượng công việc theo tuần (PVF)</a:t>
            </a:r>
          </a:p>
        </c:rich>
      </c:tx>
      <c:overlay val="0"/>
    </c:title>
    <c:autoTitleDeleted val="0"/>
    <c:plotArea>
      <c:layout/>
      <c:barChart>
        <c:barDir val="col"/>
        <c:grouping val="clustered"/>
        <c:varyColors val="0"/>
        <c:ser>
          <c:idx val="0"/>
          <c:order val="0"/>
          <c:tx>
            <c:strRef>
              <c:f>ChartData!$I$1</c:f>
              <c:strCache>
                <c:ptCount val="1"/>
                <c:pt idx="0">
                  <c:v>Công việc</c:v>
                </c:pt>
              </c:strCache>
            </c:strRef>
          </c:tx>
          <c:spPr>
            <a:solidFill>
              <a:srgbClr val="E26B0A"/>
            </a:solidFill>
          </c:spPr>
          <c:invertIfNegative val="0"/>
          <c:cat>
            <c:strRef>
              <c:f>ChartData!$H$2:$H$4</c:f>
              <c:strCache>
                <c:ptCount val="3"/>
                <c:pt idx="0">
                  <c:v>Tuần 1</c:v>
                </c:pt>
                <c:pt idx="1">
                  <c:v>Tuần 2</c:v>
                </c:pt>
                <c:pt idx="2">
                  <c:v>Tuần 3</c:v>
                </c:pt>
              </c:strCache>
            </c:strRef>
          </c:cat>
          <c:val>
            <c:numRef>
              <c:f>ChartData!$I$2:$I$4</c:f>
              <c:numCache>
                <c:formatCode>General</c:formatCode>
                <c:ptCount val="3"/>
                <c:pt idx="0">
                  <c:v>5</c:v>
                </c:pt>
                <c:pt idx="1">
                  <c:v>4</c:v>
                </c:pt>
                <c:pt idx="2">
                  <c:v>3</c:v>
                </c:pt>
              </c:numCache>
            </c:numRef>
          </c:val>
          <c:extLst>
            <c:ext xmlns:c16="http://schemas.microsoft.com/office/drawing/2014/chart" uri="{C3380CC4-5D6E-409C-BE32-E72D297353CC}">
              <c16:uniqueId val="{00000002-E3CC-4E55-B1E4-4C2B947330E7}"/>
            </c:ext>
          </c:extLst>
        </c:ser>
        <c:dLbls>
          <c:showLegendKey val="0"/>
          <c:showVal val="0"/>
          <c:showCatName val="0"/>
          <c:showSerName val="0"/>
          <c:showPercent val="0"/>
          <c:showBubbleSize val="0"/>
        </c:dLbls>
        <c:gapWidth val="150"/>
        <c:axId val="1048005759"/>
        <c:axId val="1715907631"/>
      </c:barChart>
      <c:catAx>
        <c:axId val="1048005759"/>
        <c:scaling>
          <c:orientation val="minMax"/>
        </c:scaling>
        <c:delete val="0"/>
        <c:axPos val="b"/>
        <c:numFmt formatCode="General" sourceLinked="1"/>
        <c:majorTickMark val="out"/>
        <c:minorTickMark val="none"/>
        <c:tickLblPos val="nextTo"/>
        <c:crossAx val="1715907631"/>
        <c:crosses val="autoZero"/>
        <c:auto val="1"/>
        <c:lblAlgn val="ctr"/>
        <c:lblOffset val="100"/>
        <c:noMultiLvlLbl val="0"/>
      </c:catAx>
      <c:valAx>
        <c:axId val="1715907631"/>
        <c:scaling>
          <c:orientation val="minMax"/>
        </c:scaling>
        <c:delete val="0"/>
        <c:axPos val="l"/>
        <c:majorGridlines/>
        <c:numFmt formatCode="General" sourceLinked="1"/>
        <c:majorTickMark val="out"/>
        <c:minorTickMark val="none"/>
        <c:tickLblPos val="nextTo"/>
        <c:crossAx val="1048005759"/>
        <c:crosses val="autoZero"/>
        <c:crossBetween val="between"/>
      </c:valAx>
      <c:spPr>
        <a:solidFill>
          <a:srgbClr val="FFFFFF"/>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Phân bổ layout 6 tab Smart City</a:t>
            </a:r>
          </a:p>
        </c:rich>
      </c:tx>
      <c:overlay val="0"/>
    </c:title>
    <c:autoTitleDeleted val="0"/>
    <c:plotArea>
      <c:layout/>
      <c:pieChart>
        <c:varyColors val="1"/>
        <c:ser>
          <c:idx val="0"/>
          <c:order val="0"/>
          <c:tx>
            <c:strRef>
              <c:f>ChartData!$L$1</c:f>
              <c:strCache>
                <c:ptCount val="1"/>
                <c:pt idx="0">
                  <c:v>Số tab</c:v>
                </c:pt>
              </c:strCache>
            </c:strRef>
          </c:tx>
          <c:spPr>
            <a:solidFill>
              <a:srgbClr val="548235"/>
            </a:solidFill>
          </c:spPr>
          <c:dPt>
            <c:idx val="1"/>
            <c:bubble3D val="0"/>
            <c:spPr>
              <a:solidFill>
                <a:srgbClr val="E26B0A"/>
              </a:solidFill>
            </c:spPr>
            <c:extLst>
              <c:ext xmlns:c16="http://schemas.microsoft.com/office/drawing/2014/chart" uri="{C3380CC4-5D6E-409C-BE32-E72D297353CC}">
                <c16:uniqueId val="{00000004-6FBB-41F3-A58B-0FA4843A5D73}"/>
              </c:ext>
            </c:extLst>
          </c:dPt>
          <c:cat>
            <c:strRef>
              <c:f>ChartData!$K$2:$K$3</c:f>
              <c:strCache>
                <c:ptCount val="2"/>
                <c:pt idx="0">
                  <c:v>Ops classic</c:v>
                </c:pt>
                <c:pt idx="1">
                  <c:v>Command 3D</c:v>
                </c:pt>
              </c:strCache>
            </c:strRef>
          </c:cat>
          <c:val>
            <c:numRef>
              <c:f>ChartData!$L$2:$L$3</c:f>
              <c:numCache>
                <c:formatCode>General</c:formatCode>
                <c:ptCount val="2"/>
                <c:pt idx="0">
                  <c:v>4</c:v>
                </c:pt>
                <c:pt idx="1">
                  <c:v>2</c:v>
                </c:pt>
              </c:numCache>
            </c:numRef>
          </c:val>
          <c:extLst>
            <c:ext xmlns:c16="http://schemas.microsoft.com/office/drawing/2014/chart" uri="{C3380CC4-5D6E-409C-BE32-E72D297353CC}">
              <c16:uniqueId val="{00000002-6FBB-41F3-A58B-0FA4843A5D73}"/>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vi-VN"/>
              <a:t>Khối lượng công việc theo tuần (Smart City)</a:t>
            </a:r>
          </a:p>
        </c:rich>
      </c:tx>
      <c:overlay val="0"/>
    </c:title>
    <c:autoTitleDeleted val="0"/>
    <c:plotArea>
      <c:layout/>
      <c:barChart>
        <c:barDir val="col"/>
        <c:grouping val="clustered"/>
        <c:varyColors val="0"/>
        <c:ser>
          <c:idx val="0"/>
          <c:order val="0"/>
          <c:tx>
            <c:strRef>
              <c:f>ChartData!$O$1</c:f>
              <c:strCache>
                <c:ptCount val="1"/>
                <c:pt idx="0">
                  <c:v>Công việc</c:v>
                </c:pt>
              </c:strCache>
            </c:strRef>
          </c:tx>
          <c:spPr>
            <a:solidFill>
              <a:srgbClr val="C55A11"/>
            </a:solidFill>
          </c:spPr>
          <c:invertIfNegative val="0"/>
          <c:cat>
            <c:strRef>
              <c:f>ChartData!$N$2:$N$4</c:f>
              <c:strCache>
                <c:ptCount val="3"/>
                <c:pt idx="0">
                  <c:v>Tuần 4</c:v>
                </c:pt>
                <c:pt idx="1">
                  <c:v>Tuần 5</c:v>
                </c:pt>
                <c:pt idx="2">
                  <c:v>Tuần 6</c:v>
                </c:pt>
              </c:strCache>
            </c:strRef>
          </c:cat>
          <c:val>
            <c:numRef>
              <c:f>ChartData!$O$2:$O$4</c:f>
              <c:numCache>
                <c:formatCode>General</c:formatCode>
                <c:ptCount val="3"/>
                <c:pt idx="0">
                  <c:v>3</c:v>
                </c:pt>
                <c:pt idx="1">
                  <c:v>4</c:v>
                </c:pt>
                <c:pt idx="2">
                  <c:v>3</c:v>
                </c:pt>
              </c:numCache>
            </c:numRef>
          </c:val>
          <c:extLst>
            <c:ext xmlns:c16="http://schemas.microsoft.com/office/drawing/2014/chart" uri="{C3380CC4-5D6E-409C-BE32-E72D297353CC}">
              <c16:uniqueId val="{00000002-6832-441A-97B7-8E55D892A7FD}"/>
            </c:ext>
          </c:extLst>
        </c:ser>
        <c:dLbls>
          <c:showLegendKey val="0"/>
          <c:showVal val="0"/>
          <c:showCatName val="0"/>
          <c:showSerName val="0"/>
          <c:showPercent val="0"/>
          <c:showBubbleSize val="0"/>
        </c:dLbls>
        <c:gapWidth val="150"/>
        <c:axId val="1715891407"/>
        <c:axId val="1715900975"/>
      </c:barChart>
      <c:catAx>
        <c:axId val="1715891407"/>
        <c:scaling>
          <c:orientation val="minMax"/>
        </c:scaling>
        <c:delete val="0"/>
        <c:axPos val="b"/>
        <c:numFmt formatCode="General" sourceLinked="1"/>
        <c:majorTickMark val="out"/>
        <c:minorTickMark val="none"/>
        <c:tickLblPos val="nextTo"/>
        <c:crossAx val="1715900975"/>
        <c:crosses val="autoZero"/>
        <c:auto val="1"/>
        <c:lblAlgn val="ctr"/>
        <c:lblOffset val="100"/>
        <c:noMultiLvlLbl val="0"/>
      </c:catAx>
      <c:valAx>
        <c:axId val="1715900975"/>
        <c:scaling>
          <c:orientation val="minMax"/>
        </c:scaling>
        <c:delete val="0"/>
        <c:axPos val="l"/>
        <c:majorGridlines/>
        <c:numFmt formatCode="General" sourceLinked="1"/>
        <c:majorTickMark val="out"/>
        <c:minorTickMark val="none"/>
        <c:tickLblPos val="nextTo"/>
        <c:crossAx val="1715891407"/>
        <c:crosses val="autoZero"/>
        <c:crossBetween val="between"/>
      </c:valAx>
      <c:spPr>
        <a:solidFill>
          <a:srgbClr val="FFFFFF"/>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93980</xdr:colOff>
      <xdr:row>29</xdr:row>
      <xdr:rowOff>45720</xdr:rowOff>
    </xdr:from>
    <xdr:to>
      <xdr:col>4</xdr:col>
      <xdr:colOff>1226820</xdr:colOff>
      <xdr:row>43</xdr:row>
      <xdr:rowOff>76200</xdr:rowOff>
    </xdr:to>
    <xdr:graphicFrame macro="">
      <xdr:nvGraphicFramePr>
        <xdr:cNvPr id="2" name="Chart 1">
          <a:extLst>
            <a:ext uri="{FF2B5EF4-FFF2-40B4-BE49-F238E27FC236}">
              <a16:creationId xmlns:a16="http://schemas.microsoft.com/office/drawing/2014/main" id="{009B4847-E0BD-483F-8993-4763D60F7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39</xdr:row>
      <xdr:rowOff>60960</xdr:rowOff>
    </xdr:from>
    <xdr:to>
      <xdr:col>3</xdr:col>
      <xdr:colOff>358140</xdr:colOff>
      <xdr:row>53</xdr:row>
      <xdr:rowOff>35560</xdr:rowOff>
    </xdr:to>
    <xdr:graphicFrame macro="">
      <xdr:nvGraphicFramePr>
        <xdr:cNvPr id="2" name="Chart 1">
          <a:extLst>
            <a:ext uri="{FF2B5EF4-FFF2-40B4-BE49-F238E27FC236}">
              <a16:creationId xmlns:a16="http://schemas.microsoft.com/office/drawing/2014/main" id="{52FFC699-5455-49E4-8411-B735AF92A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487680</xdr:colOff>
      <xdr:row>39</xdr:row>
      <xdr:rowOff>60960</xdr:rowOff>
    </xdr:from>
    <xdr:to>
      <xdr:col>7</xdr:col>
      <xdr:colOff>30480</xdr:colOff>
      <xdr:row>53</xdr:row>
      <xdr:rowOff>12700</xdr:rowOff>
    </xdr:to>
    <xdr:graphicFrame macro="">
      <xdr:nvGraphicFramePr>
        <xdr:cNvPr id="3" name="Chart 2">
          <a:extLst>
            <a:ext uri="{FF2B5EF4-FFF2-40B4-BE49-F238E27FC236}">
              <a16:creationId xmlns:a16="http://schemas.microsoft.com/office/drawing/2014/main" id="{C03C04AC-D5CB-4025-8A9B-039ED31A2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34</xdr:row>
      <xdr:rowOff>60960</xdr:rowOff>
    </xdr:from>
    <xdr:to>
      <xdr:col>3</xdr:col>
      <xdr:colOff>426720</xdr:colOff>
      <xdr:row>47</xdr:row>
      <xdr:rowOff>134620</xdr:rowOff>
    </xdr:to>
    <xdr:graphicFrame macro="">
      <xdr:nvGraphicFramePr>
        <xdr:cNvPr id="2" name="Chart 1">
          <a:extLst>
            <a:ext uri="{FF2B5EF4-FFF2-40B4-BE49-F238E27FC236}">
              <a16:creationId xmlns:a16="http://schemas.microsoft.com/office/drawing/2014/main" id="{BF8EDECE-5844-463B-BD4E-0F451FD29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34</xdr:row>
      <xdr:rowOff>15240</xdr:rowOff>
    </xdr:from>
    <xdr:to>
      <xdr:col>7</xdr:col>
      <xdr:colOff>243840</xdr:colOff>
      <xdr:row>47</xdr:row>
      <xdr:rowOff>142240</xdr:rowOff>
    </xdr:to>
    <xdr:graphicFrame macro="">
      <xdr:nvGraphicFramePr>
        <xdr:cNvPr id="3" name="Chart 2">
          <a:extLst>
            <a:ext uri="{FF2B5EF4-FFF2-40B4-BE49-F238E27FC236}">
              <a16:creationId xmlns:a16="http://schemas.microsoft.com/office/drawing/2014/main" id="{460B4F15-8268-4411-810E-531A1BCFF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thub.com/giakhanhhii/SVF_Stadium_Smartcit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
  <sheetViews>
    <sheetView workbookViewId="0"/>
  </sheetViews>
  <sheetFormatPr defaultRowHeight="14.45"/>
  <sheetData>
    <row r="1" spans="1:15">
      <c r="A1" t="s">
        <v>0</v>
      </c>
      <c r="B1" t="s">
        <v>1</v>
      </c>
      <c r="C1" t="s">
        <v>2</v>
      </c>
      <c r="E1" t="s">
        <v>3</v>
      </c>
      <c r="F1" t="s">
        <v>4</v>
      </c>
      <c r="H1" t="s">
        <v>0</v>
      </c>
      <c r="I1" t="s">
        <v>5</v>
      </c>
      <c r="K1" t="s">
        <v>6</v>
      </c>
      <c r="L1" t="s">
        <v>4</v>
      </c>
      <c r="N1" t="s">
        <v>0</v>
      </c>
      <c r="O1" t="s">
        <v>5</v>
      </c>
    </row>
    <row r="2" spans="1:15">
      <c r="A2" t="s">
        <v>7</v>
      </c>
      <c r="B2">
        <v>1</v>
      </c>
      <c r="C2">
        <v>0</v>
      </c>
      <c r="E2" t="s">
        <v>8</v>
      </c>
      <c r="F2">
        <v>1</v>
      </c>
      <c r="H2" t="s">
        <v>9</v>
      </c>
      <c r="I2">
        <v>5</v>
      </c>
      <c r="K2" t="s">
        <v>10</v>
      </c>
      <c r="L2">
        <v>4</v>
      </c>
      <c r="N2" t="s">
        <v>11</v>
      </c>
      <c r="O2">
        <v>3</v>
      </c>
    </row>
    <row r="3" spans="1:15">
      <c r="A3" t="s">
        <v>12</v>
      </c>
      <c r="B3">
        <v>1</v>
      </c>
      <c r="C3">
        <v>0</v>
      </c>
      <c r="E3" t="s">
        <v>13</v>
      </c>
      <c r="F3">
        <v>1</v>
      </c>
      <c r="H3" t="s">
        <v>14</v>
      </c>
      <c r="I3">
        <v>4</v>
      </c>
      <c r="K3" t="s">
        <v>15</v>
      </c>
      <c r="L3">
        <v>2</v>
      </c>
      <c r="N3" t="s">
        <v>16</v>
      </c>
      <c r="O3">
        <v>4</v>
      </c>
    </row>
    <row r="4" spans="1:15">
      <c r="A4" t="s">
        <v>17</v>
      </c>
      <c r="B4">
        <v>1</v>
      </c>
      <c r="C4">
        <v>0</v>
      </c>
      <c r="E4" t="s">
        <v>18</v>
      </c>
      <c r="F4">
        <v>1</v>
      </c>
      <c r="H4" t="s">
        <v>19</v>
      </c>
      <c r="I4">
        <v>3</v>
      </c>
      <c r="N4" t="s">
        <v>20</v>
      </c>
      <c r="O4">
        <v>3</v>
      </c>
    </row>
    <row r="5" spans="1:15">
      <c r="A5" t="s">
        <v>21</v>
      </c>
      <c r="B5">
        <v>0</v>
      </c>
      <c r="C5">
        <v>1</v>
      </c>
      <c r="E5" t="s">
        <v>22</v>
      </c>
      <c r="F5">
        <v>1</v>
      </c>
    </row>
    <row r="6" spans="1:15">
      <c r="A6" t="s">
        <v>23</v>
      </c>
      <c r="B6">
        <v>0</v>
      </c>
      <c r="C6">
        <v>1</v>
      </c>
      <c r="E6" t="s">
        <v>24</v>
      </c>
      <c r="F6">
        <v>1</v>
      </c>
    </row>
    <row r="7" spans="1:15">
      <c r="A7" t="s">
        <v>25</v>
      </c>
      <c r="B7">
        <v>0</v>
      </c>
      <c r="C7">
        <v>1</v>
      </c>
      <c r="E7" t="s">
        <v>26</v>
      </c>
      <c r="F7">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8"/>
  <sheetViews>
    <sheetView showGridLines="0" workbookViewId="0">
      <selection activeCell="A6" sqref="A6:XFD6"/>
    </sheetView>
  </sheetViews>
  <sheetFormatPr defaultRowHeight="14.45"/>
  <cols>
    <col min="1" max="1" width="14" customWidth="1"/>
    <col min="2" max="2" width="14.28515625" customWidth="1"/>
    <col min="3" max="3" width="22" customWidth="1"/>
    <col min="4" max="4" width="14" customWidth="1"/>
    <col min="5" max="5" width="18" customWidth="1"/>
  </cols>
  <sheetData>
    <row r="1" spans="1:5" ht="18">
      <c r="A1" s="31" t="s">
        <v>27</v>
      </c>
      <c r="B1" s="31"/>
      <c r="C1" s="31"/>
      <c r="D1" s="31"/>
      <c r="E1" s="31"/>
    </row>
    <row r="2" spans="1:5">
      <c r="A2" s="32" t="s">
        <v>28</v>
      </c>
      <c r="B2" s="32"/>
      <c r="C2" s="32"/>
      <c r="D2" s="32"/>
      <c r="E2" s="32"/>
    </row>
    <row r="4" spans="1:5">
      <c r="A4" s="46" t="s">
        <v>29</v>
      </c>
      <c r="B4" s="46"/>
      <c r="C4" s="46"/>
      <c r="D4" s="46"/>
      <c r="E4" s="46"/>
    </row>
    <row r="5" spans="1:5" ht="24" customHeight="1">
      <c r="A5" s="4" t="s">
        <v>30</v>
      </c>
      <c r="B5" s="4" t="s">
        <v>0</v>
      </c>
      <c r="C5" s="4" t="s">
        <v>31</v>
      </c>
      <c r="D5" s="4" t="s">
        <v>32</v>
      </c>
      <c r="E5" s="4" t="s">
        <v>33</v>
      </c>
    </row>
    <row r="6" spans="1:5" ht="30.6" customHeight="1">
      <c r="A6" s="1" t="s">
        <v>1</v>
      </c>
      <c r="B6" s="1" t="s">
        <v>34</v>
      </c>
      <c r="C6" s="13" t="s">
        <v>35</v>
      </c>
      <c r="D6" s="25" t="s">
        <v>36</v>
      </c>
      <c r="E6" s="25"/>
    </row>
    <row r="7" spans="1:5" ht="30" customHeight="1">
      <c r="A7" s="2" t="s">
        <v>1</v>
      </c>
      <c r="B7" s="2" t="s">
        <v>37</v>
      </c>
      <c r="C7" s="14" t="s">
        <v>38</v>
      </c>
      <c r="D7" s="24" t="s">
        <v>39</v>
      </c>
      <c r="E7" s="24"/>
    </row>
    <row r="8" spans="1:5" ht="30" customHeight="1">
      <c r="A8" s="1" t="s">
        <v>1</v>
      </c>
      <c r="B8" s="1" t="s">
        <v>40</v>
      </c>
      <c r="C8" s="13" t="s">
        <v>41</v>
      </c>
      <c r="D8" s="25" t="s">
        <v>42</v>
      </c>
      <c r="E8" s="25"/>
    </row>
    <row r="9" spans="1:5" ht="21" customHeight="1">
      <c r="A9" s="2" t="s">
        <v>2</v>
      </c>
      <c r="B9" s="2" t="s">
        <v>43</v>
      </c>
      <c r="C9" s="14" t="s">
        <v>44</v>
      </c>
      <c r="D9" s="24" t="s">
        <v>45</v>
      </c>
      <c r="E9" s="24"/>
    </row>
    <row r="10" spans="1:5" ht="31.9" customHeight="1">
      <c r="A10" s="1" t="s">
        <v>2</v>
      </c>
      <c r="B10" s="1" t="s">
        <v>46</v>
      </c>
      <c r="C10" s="13" t="s">
        <v>47</v>
      </c>
      <c r="D10" s="25" t="s">
        <v>48</v>
      </c>
      <c r="E10" s="25"/>
    </row>
    <row r="11" spans="1:5" ht="31.15" customHeight="1">
      <c r="A11" s="2" t="s">
        <v>2</v>
      </c>
      <c r="B11" s="2" t="s">
        <v>49</v>
      </c>
      <c r="C11" s="14" t="s">
        <v>50</v>
      </c>
      <c r="D11" s="24" t="s">
        <v>51</v>
      </c>
      <c r="E11" s="24"/>
    </row>
    <row r="12" spans="1:5">
      <c r="A12" s="5"/>
      <c r="B12" s="5"/>
      <c r="C12" s="5"/>
      <c r="D12" s="5"/>
      <c r="E12" s="5"/>
    </row>
    <row r="13" spans="1:5">
      <c r="A13" s="47" t="s">
        <v>52</v>
      </c>
      <c r="B13" s="47"/>
      <c r="C13" s="47"/>
      <c r="D13" s="47"/>
      <c r="E13" s="5"/>
    </row>
    <row r="14" spans="1:5" ht="24" customHeight="1">
      <c r="A14" s="15" t="s">
        <v>53</v>
      </c>
      <c r="B14" s="23" t="s">
        <v>54</v>
      </c>
      <c r="C14" s="23"/>
      <c r="D14" s="15" t="s">
        <v>55</v>
      </c>
      <c r="E14" s="5"/>
    </row>
    <row r="15" spans="1:5" ht="43.15">
      <c r="A15" s="13" t="s">
        <v>56</v>
      </c>
      <c r="B15" s="25" t="s">
        <v>57</v>
      </c>
      <c r="C15" s="25"/>
      <c r="D15" s="13" t="s">
        <v>9</v>
      </c>
      <c r="E15" s="5"/>
    </row>
    <row r="16" spans="1:5" ht="27" customHeight="1">
      <c r="A16" s="14" t="s">
        <v>58</v>
      </c>
      <c r="B16" s="24" t="s">
        <v>59</v>
      </c>
      <c r="C16" s="24"/>
      <c r="D16" s="14" t="s">
        <v>60</v>
      </c>
      <c r="E16" s="5"/>
    </row>
    <row r="17" spans="1:5" ht="28.9">
      <c r="A17" s="13" t="s">
        <v>61</v>
      </c>
      <c r="B17" s="25" t="s">
        <v>62</v>
      </c>
      <c r="C17" s="25"/>
      <c r="D17" s="13" t="s">
        <v>19</v>
      </c>
      <c r="E17" s="5"/>
    </row>
    <row r="18" spans="1:5" ht="28.9">
      <c r="A18" s="14" t="s">
        <v>63</v>
      </c>
      <c r="B18" s="24" t="s">
        <v>64</v>
      </c>
      <c r="C18" s="24"/>
      <c r="D18" s="14" t="s">
        <v>20</v>
      </c>
      <c r="E18" s="5"/>
    </row>
    <row r="19" spans="1:5" ht="28.9">
      <c r="A19" s="13" t="s">
        <v>65</v>
      </c>
      <c r="B19" s="25" t="s">
        <v>66</v>
      </c>
      <c r="C19" s="25"/>
      <c r="D19" s="13" t="s">
        <v>67</v>
      </c>
      <c r="E19" s="5"/>
    </row>
    <row r="20" spans="1:5" ht="28.9">
      <c r="A20" s="14" t="s">
        <v>68</v>
      </c>
      <c r="B20" s="24" t="s">
        <v>69</v>
      </c>
      <c r="C20" s="24"/>
      <c r="D20" s="14" t="s">
        <v>70</v>
      </c>
      <c r="E20" s="5"/>
    </row>
    <row r="21" spans="1:5">
      <c r="A21" s="5"/>
      <c r="B21" s="5"/>
      <c r="C21" s="5"/>
      <c r="D21" s="5"/>
      <c r="E21" s="5"/>
    </row>
    <row r="22" spans="1:5">
      <c r="A22" s="46" t="s">
        <v>71</v>
      </c>
      <c r="B22" s="46"/>
      <c r="C22" s="46"/>
      <c r="D22" s="46"/>
      <c r="E22" s="46"/>
    </row>
    <row r="23" spans="1:5" ht="24" customHeight="1">
      <c r="A23" s="15" t="s">
        <v>72</v>
      </c>
      <c r="B23" s="23" t="s">
        <v>73</v>
      </c>
      <c r="C23" s="23"/>
      <c r="D23" s="23"/>
      <c r="E23" s="23"/>
    </row>
    <row r="24" spans="1:5" ht="43.15">
      <c r="A24" s="13" t="s">
        <v>74</v>
      </c>
      <c r="B24" s="25" t="s">
        <v>75</v>
      </c>
      <c r="C24" s="25"/>
      <c r="D24" s="25"/>
      <c r="E24" s="25"/>
    </row>
    <row r="25" spans="1:5" ht="28.9">
      <c r="A25" s="14" t="s">
        <v>76</v>
      </c>
      <c r="B25" s="24" t="s">
        <v>77</v>
      </c>
      <c r="C25" s="24"/>
      <c r="D25" s="24"/>
      <c r="E25" s="24"/>
    </row>
    <row r="26" spans="1:5" ht="28.9">
      <c r="A26" s="13" t="s">
        <v>78</v>
      </c>
      <c r="B26" s="25" t="s">
        <v>79</v>
      </c>
      <c r="C26" s="25"/>
      <c r="D26" s="25"/>
      <c r="E26" s="25"/>
    </row>
    <row r="27" spans="1:5" ht="28.9">
      <c r="A27" s="14" t="s">
        <v>80</v>
      </c>
      <c r="B27" s="24" t="s">
        <v>81</v>
      </c>
      <c r="C27" s="24"/>
      <c r="D27" s="24"/>
      <c r="E27" s="24"/>
    </row>
    <row r="28" spans="1:5" ht="43.15">
      <c r="A28" s="13" t="s">
        <v>82</v>
      </c>
      <c r="B28" s="25" t="s">
        <v>83</v>
      </c>
      <c r="C28" s="25"/>
      <c r="D28" s="25"/>
      <c r="E28" s="25"/>
    </row>
  </sheetData>
  <mergeCells count="24">
    <mergeCell ref="A1:E1"/>
    <mergeCell ref="A2:E2"/>
    <mergeCell ref="A4:E4"/>
    <mergeCell ref="D6:E6"/>
    <mergeCell ref="D7:E7"/>
    <mergeCell ref="D8:E8"/>
    <mergeCell ref="D9:E9"/>
    <mergeCell ref="D10:E10"/>
    <mergeCell ref="D11:E11"/>
    <mergeCell ref="A13:D13"/>
    <mergeCell ref="B14:C14"/>
    <mergeCell ref="B15:C15"/>
    <mergeCell ref="B16:C16"/>
    <mergeCell ref="B17:C17"/>
    <mergeCell ref="B18:C18"/>
    <mergeCell ref="B25:E25"/>
    <mergeCell ref="B26:E26"/>
    <mergeCell ref="B27:E27"/>
    <mergeCell ref="B28:E28"/>
    <mergeCell ref="B19:C19"/>
    <mergeCell ref="B20:C20"/>
    <mergeCell ref="A22:E22"/>
    <mergeCell ref="B23:E23"/>
    <mergeCell ref="B24:E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8"/>
  <sheetViews>
    <sheetView showGridLines="0" tabSelected="1" topLeftCell="A11" zoomScale="80" zoomScaleNormal="80" workbookViewId="0">
      <selection activeCell="O13" sqref="O13"/>
    </sheetView>
  </sheetViews>
  <sheetFormatPr defaultRowHeight="14.45"/>
  <cols>
    <col min="1" max="1" width="6" customWidth="1"/>
    <col min="2" max="2" width="24" customWidth="1"/>
    <col min="3" max="4" width="22" customWidth="1"/>
    <col min="5" max="5" width="14" customWidth="1"/>
    <col min="6" max="6" width="19.140625" customWidth="1"/>
  </cols>
  <sheetData>
    <row r="1" spans="1:6" ht="18">
      <c r="A1" s="31" t="s">
        <v>84</v>
      </c>
      <c r="B1" s="31"/>
      <c r="C1" s="31"/>
      <c r="D1" s="31"/>
      <c r="E1" s="31"/>
      <c r="F1" s="31"/>
    </row>
    <row r="2" spans="1:6">
      <c r="A2" s="32" t="s">
        <v>85</v>
      </c>
      <c r="B2" s="32"/>
      <c r="C2" s="32"/>
      <c r="D2" s="32"/>
      <c r="E2" s="32"/>
      <c r="F2" s="32"/>
    </row>
    <row r="4" spans="1:6">
      <c r="A4" s="33" t="s">
        <v>86</v>
      </c>
      <c r="B4" s="33"/>
      <c r="C4" s="33"/>
      <c r="D4" s="33"/>
      <c r="E4" s="33"/>
      <c r="F4" s="33"/>
    </row>
    <row r="5" spans="1:6">
      <c r="A5" s="29" t="s">
        <v>87</v>
      </c>
      <c r="B5" s="29"/>
      <c r="C5" s="29"/>
      <c r="D5" s="29"/>
      <c r="E5" s="29"/>
      <c r="F5" s="29"/>
    </row>
    <row r="6" spans="1:6">
      <c r="A6" s="29" t="s">
        <v>88</v>
      </c>
      <c r="B6" s="29"/>
      <c r="C6" s="29"/>
      <c r="D6" s="29"/>
      <c r="E6" s="29"/>
      <c r="F6" s="29"/>
    </row>
    <row r="7" spans="1:6">
      <c r="A7" s="29" t="s">
        <v>89</v>
      </c>
      <c r="B7" s="29"/>
      <c r="C7" s="29"/>
      <c r="D7" s="29"/>
      <c r="E7" s="29"/>
      <c r="F7" s="29"/>
    </row>
    <row r="8" spans="1:6">
      <c r="A8" s="29" t="s">
        <v>90</v>
      </c>
      <c r="B8" s="29"/>
      <c r="C8" s="29"/>
      <c r="D8" s="29"/>
      <c r="E8" s="29"/>
      <c r="F8" s="29"/>
    </row>
    <row r="10" spans="1:6" ht="24" customHeight="1">
      <c r="A10" s="15" t="s">
        <v>91</v>
      </c>
      <c r="B10" s="15" t="s">
        <v>92</v>
      </c>
      <c r="C10" s="23" t="s">
        <v>93</v>
      </c>
      <c r="D10" s="23"/>
      <c r="E10" s="15" t="s">
        <v>94</v>
      </c>
      <c r="F10" s="15" t="s">
        <v>95</v>
      </c>
    </row>
    <row r="11" spans="1:6" ht="15">
      <c r="A11" s="30" t="s">
        <v>96</v>
      </c>
      <c r="B11" s="30"/>
      <c r="C11" s="30"/>
      <c r="D11" s="30"/>
      <c r="E11" s="30"/>
      <c r="F11" s="58"/>
    </row>
    <row r="12" spans="1:6" ht="58.15" customHeight="1">
      <c r="A12" s="1" t="s">
        <v>97</v>
      </c>
      <c r="B12" s="13" t="s">
        <v>98</v>
      </c>
      <c r="C12" s="25" t="s">
        <v>99</v>
      </c>
      <c r="D12" s="25"/>
      <c r="E12" s="55" t="s">
        <v>100</v>
      </c>
      <c r="F12" s="59" t="s">
        <v>101</v>
      </c>
    </row>
    <row r="13" spans="1:6" ht="76.150000000000006" customHeight="1">
      <c r="A13" s="2" t="s">
        <v>102</v>
      </c>
      <c r="B13" s="14" t="s">
        <v>103</v>
      </c>
      <c r="C13" s="24" t="s">
        <v>104</v>
      </c>
      <c r="D13" s="24"/>
      <c r="E13" s="55" t="s">
        <v>100</v>
      </c>
      <c r="F13" s="59"/>
    </row>
    <row r="14" spans="1:6" ht="93.6" customHeight="1">
      <c r="A14" s="1" t="s">
        <v>105</v>
      </c>
      <c r="B14" s="13" t="s">
        <v>106</v>
      </c>
      <c r="C14" s="25" t="s">
        <v>107</v>
      </c>
      <c r="D14" s="25"/>
      <c r="E14" s="55" t="s">
        <v>100</v>
      </c>
      <c r="F14" s="59"/>
    </row>
    <row r="15" spans="1:6" ht="64.150000000000006" customHeight="1">
      <c r="A15" s="2" t="s">
        <v>108</v>
      </c>
      <c r="B15" s="14" t="s">
        <v>109</v>
      </c>
      <c r="C15" s="24" t="s">
        <v>110</v>
      </c>
      <c r="D15" s="24"/>
      <c r="E15" s="55" t="s">
        <v>100</v>
      </c>
      <c r="F15" s="59"/>
    </row>
    <row r="16" spans="1:6" ht="49.15" customHeight="1">
      <c r="A16" s="6" t="s">
        <v>111</v>
      </c>
      <c r="B16" s="16" t="s">
        <v>112</v>
      </c>
      <c r="C16" s="26" t="s">
        <v>113</v>
      </c>
      <c r="D16" s="26"/>
      <c r="E16" s="56" t="s">
        <v>100</v>
      </c>
      <c r="F16" s="59"/>
    </row>
    <row r="17" spans="1:6" ht="75" customHeight="1">
      <c r="A17" s="19">
        <v>1.6</v>
      </c>
      <c r="B17" s="18" t="s">
        <v>114</v>
      </c>
      <c r="C17" s="40" t="s">
        <v>115</v>
      </c>
      <c r="D17" s="40"/>
      <c r="E17" s="56" t="s">
        <v>100</v>
      </c>
      <c r="F17" s="59"/>
    </row>
    <row r="18" spans="1:6" ht="60.6" customHeight="1">
      <c r="A18" s="9">
        <v>1.7</v>
      </c>
      <c r="B18" s="8" t="s">
        <v>116</v>
      </c>
      <c r="C18" s="27" t="s">
        <v>117</v>
      </c>
      <c r="D18" s="28"/>
      <c r="E18" s="57" t="s">
        <v>100</v>
      </c>
      <c r="F18" s="59"/>
    </row>
    <row r="19" spans="1:6" ht="102" customHeight="1">
      <c r="A19" s="9">
        <v>1.8</v>
      </c>
      <c r="B19" s="8" t="s">
        <v>118</v>
      </c>
      <c r="C19" s="27" t="s">
        <v>119</v>
      </c>
      <c r="D19" s="28"/>
      <c r="E19" s="57" t="s">
        <v>100</v>
      </c>
      <c r="F19" s="59"/>
    </row>
    <row r="20" spans="1:6" ht="14.45" customHeight="1">
      <c r="A20" s="37" t="s">
        <v>120</v>
      </c>
      <c r="B20" s="38"/>
      <c r="C20" s="38"/>
      <c r="D20" s="38"/>
      <c r="E20" s="38"/>
      <c r="F20" s="39"/>
    </row>
    <row r="21" spans="1:6" ht="50.45" customHeight="1">
      <c r="A21" s="2" t="s">
        <v>121</v>
      </c>
      <c r="B21" s="14" t="s">
        <v>122</v>
      </c>
      <c r="C21" s="24" t="s">
        <v>123</v>
      </c>
      <c r="D21" s="24"/>
      <c r="E21" s="3" t="s">
        <v>124</v>
      </c>
      <c r="F21" s="14" t="s">
        <v>125</v>
      </c>
    </row>
    <row r="22" spans="1:6" ht="91.9" customHeight="1">
      <c r="A22" s="1" t="s">
        <v>126</v>
      </c>
      <c r="B22" s="13" t="s">
        <v>127</v>
      </c>
      <c r="C22" s="25" t="s">
        <v>128</v>
      </c>
      <c r="D22" s="25"/>
      <c r="E22" s="3" t="s">
        <v>124</v>
      </c>
      <c r="F22" s="13"/>
    </row>
    <row r="23" spans="1:6" ht="33.6" customHeight="1">
      <c r="A23" s="2" t="s">
        <v>129</v>
      </c>
      <c r="B23" s="14" t="s">
        <v>130</v>
      </c>
      <c r="C23" s="24" t="s">
        <v>131</v>
      </c>
      <c r="D23" s="24"/>
      <c r="E23" s="3" t="s">
        <v>124</v>
      </c>
      <c r="F23" s="14" t="s">
        <v>132</v>
      </c>
    </row>
    <row r="24" spans="1:6" ht="34.15" customHeight="1">
      <c r="A24" s="1" t="s">
        <v>133</v>
      </c>
      <c r="B24" s="13" t="s">
        <v>134</v>
      </c>
      <c r="C24" s="25" t="s">
        <v>135</v>
      </c>
      <c r="D24" s="25"/>
      <c r="E24" s="3" t="s">
        <v>124</v>
      </c>
      <c r="F24" s="13" t="s">
        <v>136</v>
      </c>
    </row>
    <row r="25" spans="1:6" ht="14.45" customHeight="1">
      <c r="A25" s="34" t="s">
        <v>137</v>
      </c>
      <c r="B25" s="35"/>
      <c r="C25" s="35"/>
      <c r="D25" s="35"/>
      <c r="E25" s="35"/>
      <c r="F25" s="36"/>
    </row>
    <row r="26" spans="1:6" ht="46.9" customHeight="1">
      <c r="A26" s="2" t="s">
        <v>138</v>
      </c>
      <c r="B26" s="14" t="s">
        <v>139</v>
      </c>
      <c r="C26" s="24" t="s">
        <v>140</v>
      </c>
      <c r="D26" s="24"/>
      <c r="E26" s="3" t="s">
        <v>124</v>
      </c>
      <c r="F26" s="14" t="s">
        <v>19</v>
      </c>
    </row>
    <row r="27" spans="1:6" ht="61.15" customHeight="1">
      <c r="A27" s="2">
        <v>3.2</v>
      </c>
      <c r="B27" s="14" t="s">
        <v>141</v>
      </c>
      <c r="C27" s="43" t="s">
        <v>142</v>
      </c>
      <c r="D27" s="44"/>
      <c r="E27" s="3" t="s">
        <v>124</v>
      </c>
      <c r="F27" s="14"/>
    </row>
    <row r="28" spans="1:6" ht="32.450000000000003" customHeight="1">
      <c r="A28" s="1" t="s">
        <v>143</v>
      </c>
      <c r="B28" s="13" t="s">
        <v>144</v>
      </c>
      <c r="C28" s="25" t="s">
        <v>145</v>
      </c>
      <c r="D28" s="25"/>
      <c r="E28" s="3" t="s">
        <v>124</v>
      </c>
      <c r="F28" s="13" t="s">
        <v>19</v>
      </c>
    </row>
    <row r="29" spans="1:6" ht="31.9" customHeight="1">
      <c r="A29" s="10" t="s">
        <v>146</v>
      </c>
      <c r="B29" s="17" t="s">
        <v>147</v>
      </c>
      <c r="C29" s="45" t="s">
        <v>148</v>
      </c>
      <c r="D29" s="45"/>
      <c r="E29" s="7" t="s">
        <v>124</v>
      </c>
      <c r="F29" s="17" t="s">
        <v>149</v>
      </c>
    </row>
    <row r="30" spans="1:6" ht="58.15" customHeight="1">
      <c r="A30" s="11">
        <v>3.4</v>
      </c>
      <c r="B30" s="12" t="s">
        <v>150</v>
      </c>
      <c r="C30" s="41" t="s">
        <v>151</v>
      </c>
      <c r="D30" s="42"/>
      <c r="E30" s="7" t="s">
        <v>124</v>
      </c>
      <c r="F30" s="12"/>
    </row>
    <row r="31" spans="1:6">
      <c r="A31" s="20" t="s">
        <v>152</v>
      </c>
      <c r="B31" s="21"/>
      <c r="C31" s="21"/>
      <c r="D31" s="21"/>
      <c r="E31" s="22"/>
    </row>
    <row r="32" spans="1:6" ht="24" customHeight="1">
      <c r="A32" s="15" t="s">
        <v>153</v>
      </c>
      <c r="B32" s="15" t="s">
        <v>3</v>
      </c>
      <c r="C32" s="23" t="s">
        <v>154</v>
      </c>
      <c r="D32" s="23"/>
      <c r="E32" s="15" t="s">
        <v>155</v>
      </c>
    </row>
    <row r="33" spans="1:5" ht="28.9">
      <c r="A33" s="1" t="s">
        <v>34</v>
      </c>
      <c r="B33" s="13" t="s">
        <v>8</v>
      </c>
      <c r="C33" s="25" t="s">
        <v>156</v>
      </c>
      <c r="D33" s="25"/>
      <c r="E33" s="13" t="s">
        <v>157</v>
      </c>
    </row>
    <row r="34" spans="1:5" ht="28.9">
      <c r="A34" s="2" t="s">
        <v>37</v>
      </c>
      <c r="B34" s="14" t="s">
        <v>13</v>
      </c>
      <c r="C34" s="24" t="s">
        <v>158</v>
      </c>
      <c r="D34" s="24"/>
      <c r="E34" s="14" t="s">
        <v>159</v>
      </c>
    </row>
    <row r="35" spans="1:5" ht="28.9">
      <c r="A35" s="1" t="s">
        <v>40</v>
      </c>
      <c r="B35" s="13" t="s">
        <v>18</v>
      </c>
      <c r="C35" s="25" t="s">
        <v>160</v>
      </c>
      <c r="D35" s="25"/>
      <c r="E35" s="13" t="s">
        <v>161</v>
      </c>
    </row>
    <row r="36" spans="1:5" ht="28.9">
      <c r="A36" s="2" t="s">
        <v>43</v>
      </c>
      <c r="B36" s="14" t="s">
        <v>162</v>
      </c>
      <c r="C36" s="24" t="s">
        <v>163</v>
      </c>
      <c r="D36" s="24"/>
      <c r="E36" s="14" t="s">
        <v>164</v>
      </c>
    </row>
    <row r="37" spans="1:5" ht="28.9">
      <c r="A37" s="1" t="s">
        <v>46</v>
      </c>
      <c r="B37" s="13" t="s">
        <v>24</v>
      </c>
      <c r="C37" s="25" t="s">
        <v>165</v>
      </c>
      <c r="D37" s="25"/>
      <c r="E37" s="13" t="s">
        <v>166</v>
      </c>
    </row>
    <row r="38" spans="1:5" ht="25.15" customHeight="1">
      <c r="A38" s="2" t="s">
        <v>49</v>
      </c>
      <c r="B38" s="14" t="s">
        <v>26</v>
      </c>
      <c r="C38" s="24" t="s">
        <v>167</v>
      </c>
      <c r="D38" s="24"/>
      <c r="E38" s="14" t="s">
        <v>168</v>
      </c>
    </row>
  </sheetData>
  <mergeCells count="37">
    <mergeCell ref="A25:F25"/>
    <mergeCell ref="A20:F20"/>
    <mergeCell ref="C17:D17"/>
    <mergeCell ref="C30:D30"/>
    <mergeCell ref="C27:D27"/>
    <mergeCell ref="C22:D22"/>
    <mergeCell ref="C23:D23"/>
    <mergeCell ref="C24:D24"/>
    <mergeCell ref="C26:D26"/>
    <mergeCell ref="C28:D28"/>
    <mergeCell ref="C29:D29"/>
    <mergeCell ref="F12:F19"/>
    <mergeCell ref="A1:F1"/>
    <mergeCell ref="A2:F2"/>
    <mergeCell ref="A4:F4"/>
    <mergeCell ref="A5:F5"/>
    <mergeCell ref="A6:F6"/>
    <mergeCell ref="A7:F7"/>
    <mergeCell ref="A8:F8"/>
    <mergeCell ref="C10:D10"/>
    <mergeCell ref="A11:F11"/>
    <mergeCell ref="C12:D12"/>
    <mergeCell ref="C13:D13"/>
    <mergeCell ref="C14:D14"/>
    <mergeCell ref="C15:D15"/>
    <mergeCell ref="C16:D16"/>
    <mergeCell ref="C21:D21"/>
    <mergeCell ref="C18:D18"/>
    <mergeCell ref="C19:D19"/>
    <mergeCell ref="A31:E31"/>
    <mergeCell ref="C32:D32"/>
    <mergeCell ref="C38:D38"/>
    <mergeCell ref="C33:D33"/>
    <mergeCell ref="C34:D34"/>
    <mergeCell ref="C35:D35"/>
    <mergeCell ref="C36:D36"/>
    <mergeCell ref="C37:D37"/>
  </mergeCells>
  <hyperlinks>
    <hyperlink ref="F12:F19" r:id="rId1" display="https://github.com/giakhanhhii/SVF_Stadium_Smartcity" xr:uid="{7BE7D6CF-BBEE-485C-8B1F-F7DD53B78FD2}"/>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33"/>
  <sheetViews>
    <sheetView showGridLines="0" workbookViewId="0">
      <selection activeCell="I33" sqref="I33"/>
    </sheetView>
  </sheetViews>
  <sheetFormatPr defaultRowHeight="14.45"/>
  <cols>
    <col min="1" max="1" width="6" customWidth="1"/>
    <col min="2" max="2" width="24" customWidth="1"/>
    <col min="3" max="4" width="22" customWidth="1"/>
    <col min="5" max="6" width="14" customWidth="1"/>
  </cols>
  <sheetData>
    <row r="1" spans="1:6" ht="18">
      <c r="A1" s="31" t="s">
        <v>169</v>
      </c>
      <c r="B1" s="31"/>
      <c r="C1" s="31"/>
      <c r="D1" s="31"/>
      <c r="E1" s="31"/>
      <c r="F1" s="31"/>
    </row>
    <row r="2" spans="1:6">
      <c r="A2" s="32" t="s">
        <v>170</v>
      </c>
      <c r="B2" s="32"/>
      <c r="C2" s="32"/>
      <c r="D2" s="32"/>
      <c r="E2" s="32"/>
      <c r="F2" s="32"/>
    </row>
    <row r="4" spans="1:6">
      <c r="A4" s="53" t="s">
        <v>86</v>
      </c>
      <c r="B4" s="53"/>
      <c r="C4" s="53"/>
      <c r="D4" s="53"/>
      <c r="E4" s="53"/>
      <c r="F4" s="53"/>
    </row>
    <row r="5" spans="1:6">
      <c r="A5" s="29" t="s">
        <v>171</v>
      </c>
      <c r="B5" s="29"/>
      <c r="C5" s="29"/>
      <c r="D5" s="29"/>
      <c r="E5" s="29"/>
      <c r="F5" s="29"/>
    </row>
    <row r="6" spans="1:6">
      <c r="A6" s="29" t="s">
        <v>172</v>
      </c>
      <c r="B6" s="29"/>
      <c r="C6" s="29"/>
      <c r="D6" s="29"/>
      <c r="E6" s="29"/>
      <c r="F6" s="29"/>
    </row>
    <row r="7" spans="1:6">
      <c r="A7" s="29" t="s">
        <v>173</v>
      </c>
      <c r="B7" s="29"/>
      <c r="C7" s="29"/>
      <c r="D7" s="29"/>
      <c r="E7" s="29"/>
      <c r="F7" s="29"/>
    </row>
    <row r="8" spans="1:6">
      <c r="A8" s="29" t="s">
        <v>174</v>
      </c>
      <c r="B8" s="29"/>
      <c r="C8" s="29"/>
      <c r="D8" s="29"/>
      <c r="E8" s="29"/>
      <c r="F8" s="29"/>
    </row>
    <row r="10" spans="1:6" ht="24" customHeight="1">
      <c r="A10" s="15" t="s">
        <v>91</v>
      </c>
      <c r="B10" s="15" t="s">
        <v>92</v>
      </c>
      <c r="C10" s="23" t="s">
        <v>93</v>
      </c>
      <c r="D10" s="23"/>
      <c r="E10" s="15" t="s">
        <v>94</v>
      </c>
      <c r="F10" s="15" t="s">
        <v>175</v>
      </c>
    </row>
    <row r="11" spans="1:6">
      <c r="A11" s="54" t="s">
        <v>176</v>
      </c>
      <c r="B11" s="54"/>
      <c r="C11" s="54"/>
      <c r="D11" s="54"/>
      <c r="E11" s="54"/>
      <c r="F11" s="54"/>
    </row>
    <row r="12" spans="1:6" ht="33.6" customHeight="1">
      <c r="A12" s="1" t="s">
        <v>177</v>
      </c>
      <c r="B12" s="13" t="s">
        <v>178</v>
      </c>
      <c r="C12" s="25" t="s">
        <v>179</v>
      </c>
      <c r="D12" s="25"/>
      <c r="E12" s="3" t="s">
        <v>124</v>
      </c>
      <c r="F12" s="13" t="s">
        <v>11</v>
      </c>
    </row>
    <row r="13" spans="1:6" ht="61.15" customHeight="1">
      <c r="A13" s="1" t="s">
        <v>180</v>
      </c>
      <c r="B13" s="13" t="s">
        <v>181</v>
      </c>
      <c r="C13" s="51" t="s">
        <v>182</v>
      </c>
      <c r="D13" s="52"/>
      <c r="E13" s="3" t="s">
        <v>124</v>
      </c>
      <c r="F13" s="13"/>
    </row>
    <row r="14" spans="1:6" ht="29.45" customHeight="1">
      <c r="A14" s="2" t="s">
        <v>183</v>
      </c>
      <c r="B14" s="14" t="s">
        <v>184</v>
      </c>
      <c r="C14" s="24" t="s">
        <v>185</v>
      </c>
      <c r="D14" s="24"/>
      <c r="E14" s="3" t="s">
        <v>124</v>
      </c>
      <c r="F14" s="14" t="s">
        <v>186</v>
      </c>
    </row>
    <row r="15" spans="1:6" ht="46.9" customHeight="1">
      <c r="A15" s="1" t="s">
        <v>187</v>
      </c>
      <c r="B15" s="13" t="s">
        <v>188</v>
      </c>
      <c r="C15" s="25" t="s">
        <v>189</v>
      </c>
      <c r="D15" s="25"/>
      <c r="E15" s="3" t="s">
        <v>124</v>
      </c>
      <c r="F15" s="13" t="s">
        <v>11</v>
      </c>
    </row>
    <row r="16" spans="1:6">
      <c r="A16" s="50" t="s">
        <v>190</v>
      </c>
      <c r="B16" s="50"/>
      <c r="C16" s="50"/>
      <c r="D16" s="50"/>
      <c r="E16" s="50"/>
      <c r="F16" s="50"/>
    </row>
    <row r="17" spans="1:6" ht="36.6" customHeight="1">
      <c r="A17" s="2" t="s">
        <v>191</v>
      </c>
      <c r="B17" s="14" t="s">
        <v>192</v>
      </c>
      <c r="C17" s="24" t="s">
        <v>193</v>
      </c>
      <c r="D17" s="24"/>
      <c r="E17" s="3" t="s">
        <v>124</v>
      </c>
      <c r="F17" s="14" t="s">
        <v>16</v>
      </c>
    </row>
    <row r="18" spans="1:6" ht="30" customHeight="1">
      <c r="A18" s="1" t="s">
        <v>194</v>
      </c>
      <c r="B18" s="13" t="s">
        <v>195</v>
      </c>
      <c r="C18" s="25" t="s">
        <v>196</v>
      </c>
      <c r="D18" s="25"/>
      <c r="E18" s="3" t="s">
        <v>124</v>
      </c>
      <c r="F18" s="13" t="s">
        <v>16</v>
      </c>
    </row>
    <row r="19" spans="1:6" ht="28.9" customHeight="1">
      <c r="A19" s="2" t="s">
        <v>197</v>
      </c>
      <c r="B19" s="14" t="s">
        <v>198</v>
      </c>
      <c r="C19" s="24" t="s">
        <v>199</v>
      </c>
      <c r="D19" s="24"/>
      <c r="E19" s="3" t="s">
        <v>124</v>
      </c>
      <c r="F19" s="14" t="s">
        <v>200</v>
      </c>
    </row>
    <row r="20" spans="1:6" ht="32.450000000000003" customHeight="1">
      <c r="A20" s="1" t="s">
        <v>201</v>
      </c>
      <c r="B20" s="13" t="s">
        <v>202</v>
      </c>
      <c r="C20" s="25" t="s">
        <v>203</v>
      </c>
      <c r="D20" s="25"/>
      <c r="E20" s="3" t="s">
        <v>124</v>
      </c>
      <c r="F20" s="13" t="s">
        <v>204</v>
      </c>
    </row>
    <row r="21" spans="1:6">
      <c r="A21" s="49" t="s">
        <v>205</v>
      </c>
      <c r="B21" s="49"/>
      <c r="C21" s="49"/>
      <c r="D21" s="49"/>
      <c r="E21" s="49"/>
      <c r="F21" s="49"/>
    </row>
    <row r="22" spans="1:6" ht="33.6" customHeight="1">
      <c r="A22" s="2" t="s">
        <v>206</v>
      </c>
      <c r="B22" s="14" t="s">
        <v>207</v>
      </c>
      <c r="C22" s="24" t="s">
        <v>208</v>
      </c>
      <c r="D22" s="24"/>
      <c r="E22" s="3" t="s">
        <v>124</v>
      </c>
      <c r="F22" s="14" t="s">
        <v>20</v>
      </c>
    </row>
    <row r="23" spans="1:6" ht="31.15" customHeight="1">
      <c r="A23" s="1" t="s">
        <v>209</v>
      </c>
      <c r="B23" s="13" t="s">
        <v>210</v>
      </c>
      <c r="C23" s="25" t="s">
        <v>211</v>
      </c>
      <c r="D23" s="25"/>
      <c r="E23" s="3" t="s">
        <v>124</v>
      </c>
      <c r="F23" s="13" t="s">
        <v>20</v>
      </c>
    </row>
    <row r="24" spans="1:6" ht="28.9">
      <c r="A24" s="2" t="s">
        <v>212</v>
      </c>
      <c r="B24" s="14" t="s">
        <v>213</v>
      </c>
      <c r="C24" s="24" t="s">
        <v>214</v>
      </c>
      <c r="D24" s="24"/>
      <c r="E24" s="3" t="s">
        <v>124</v>
      </c>
      <c r="F24" s="14" t="s">
        <v>215</v>
      </c>
    </row>
    <row r="26" spans="1:6">
      <c r="A26" s="48" t="s">
        <v>216</v>
      </c>
      <c r="B26" s="48"/>
      <c r="C26" s="48"/>
      <c r="D26" s="48"/>
      <c r="E26" s="48"/>
    </row>
    <row r="27" spans="1:6" ht="24" customHeight="1">
      <c r="A27" s="15" t="s">
        <v>153</v>
      </c>
      <c r="B27" s="15" t="s">
        <v>3</v>
      </c>
      <c r="C27" s="23" t="s">
        <v>154</v>
      </c>
      <c r="D27" s="23"/>
      <c r="E27" s="15" t="s">
        <v>6</v>
      </c>
    </row>
    <row r="28" spans="1:6" ht="20.45" customHeight="1">
      <c r="A28" s="1" t="s">
        <v>34</v>
      </c>
      <c r="B28" s="13" t="s">
        <v>8</v>
      </c>
      <c r="C28" s="25" t="s">
        <v>217</v>
      </c>
      <c r="D28" s="25"/>
      <c r="E28" s="13" t="s">
        <v>10</v>
      </c>
    </row>
    <row r="29" spans="1:6" ht="28.9">
      <c r="A29" s="2" t="s">
        <v>37</v>
      </c>
      <c r="B29" s="14" t="s">
        <v>218</v>
      </c>
      <c r="C29" s="24" t="s">
        <v>219</v>
      </c>
      <c r="D29" s="24"/>
      <c r="E29" s="14" t="s">
        <v>220</v>
      </c>
    </row>
    <row r="30" spans="1:6" ht="28.9">
      <c r="A30" s="1" t="s">
        <v>40</v>
      </c>
      <c r="B30" s="13" t="s">
        <v>13</v>
      </c>
      <c r="C30" s="25" t="s">
        <v>221</v>
      </c>
      <c r="D30" s="25"/>
      <c r="E30" s="13" t="s">
        <v>220</v>
      </c>
    </row>
    <row r="31" spans="1:6">
      <c r="A31" s="2" t="s">
        <v>43</v>
      </c>
      <c r="B31" s="14" t="s">
        <v>222</v>
      </c>
      <c r="C31" s="24" t="s">
        <v>223</v>
      </c>
      <c r="D31" s="24"/>
      <c r="E31" s="14" t="s">
        <v>10</v>
      </c>
    </row>
    <row r="32" spans="1:6" ht="16.899999999999999" customHeight="1">
      <c r="A32" s="1" t="s">
        <v>46</v>
      </c>
      <c r="B32" s="13" t="s">
        <v>224</v>
      </c>
      <c r="C32" s="25" t="s">
        <v>225</v>
      </c>
      <c r="D32" s="25"/>
      <c r="E32" s="13" t="s">
        <v>10</v>
      </c>
    </row>
    <row r="33" spans="1:5">
      <c r="A33" s="2" t="s">
        <v>49</v>
      </c>
      <c r="B33" s="14" t="s">
        <v>26</v>
      </c>
      <c r="C33" s="24" t="s">
        <v>226</v>
      </c>
      <c r="D33" s="24"/>
      <c r="E33" s="14" t="s">
        <v>10</v>
      </c>
    </row>
  </sheetData>
  <mergeCells count="30">
    <mergeCell ref="C13:D13"/>
    <mergeCell ref="A1:F1"/>
    <mergeCell ref="A2:F2"/>
    <mergeCell ref="A4:F4"/>
    <mergeCell ref="A5:F5"/>
    <mergeCell ref="A6:F6"/>
    <mergeCell ref="A7:F7"/>
    <mergeCell ref="A8:F8"/>
    <mergeCell ref="C10:D10"/>
    <mergeCell ref="A11:F11"/>
    <mergeCell ref="C12:D12"/>
    <mergeCell ref="C14:D14"/>
    <mergeCell ref="C15:D15"/>
    <mergeCell ref="A16:F16"/>
    <mergeCell ref="C17:D17"/>
    <mergeCell ref="C18:D18"/>
    <mergeCell ref="C19:D19"/>
    <mergeCell ref="C20:D20"/>
    <mergeCell ref="A21:F21"/>
    <mergeCell ref="C22:D22"/>
    <mergeCell ref="C23:D23"/>
    <mergeCell ref="C30:D30"/>
    <mergeCell ref="C31:D31"/>
    <mergeCell ref="C32:D32"/>
    <mergeCell ref="C33:D33"/>
    <mergeCell ref="C24:D24"/>
    <mergeCell ref="A26:E26"/>
    <mergeCell ref="C27:D27"/>
    <mergeCell ref="C28:D28"/>
    <mergeCell ref="C29:D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khanh trieu</cp:lastModifiedBy>
  <cp:revision/>
  <dcterms:created xsi:type="dcterms:W3CDTF">2026-05-26T07:38:11Z</dcterms:created>
  <dcterms:modified xsi:type="dcterms:W3CDTF">2026-05-29T08:06:36Z</dcterms:modified>
  <cp:category/>
  <cp:contentStatus/>
</cp:coreProperties>
</file>